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drawings/drawing1.xml" ContentType="application/vnd.openxmlformats-officedocument.drawing+xml"/>
  <Override PartName="/xl/charts/chart1.xml" ContentType="application/vnd.openxmlformats-officedocument.drawingml.char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tro" state="visible" r:id="rId4"/>
    <sheet sheetId="2" name="Scoring" state="visible" r:id="rId5"/>
    <sheet sheetId="3" name="Workspace" state="visible" r:id="rId6"/>
    <sheet sheetId="4" name="Map" state="visible" r:id="rId7"/>
    <sheet sheetId="5" name="Reference" state="hidden" r:id="rId8"/>
  </sheets>
  <definedNames>
    <definedName name="CategoryList">Reference!$A$1:$A$6</definedName>
    <definedName name="Communities">Reference!$C$1:$C$16</definedName>
    <definedName name="Government">Reference!$D$1:$D$16</definedName>
    <definedName name="Our_People">Reference!$E$1:$E$10</definedName>
    <definedName name="Industry">Reference!$F$1:$F$8</definedName>
    <definedName name="Consumers">Reference!$G$1:$G$4</definedName>
    <definedName name="Investors">Reference!$H$1:$H$4</definedName>
    <definedName name="Markets">Reference!$J$1:$J$4</definedName>
    <definedName name="Regions">Reference!$K$1:$K$10</definedName>
    <definedName name="Geographies">Reference!$L$1:$L$4</definedName>
    <definedName name="Priorities">Reference!$M$1:$M$3</definedName>
    <definedName name="Statuses">Reference!$N$1:$N$4</definedName>
    <definedName name="ZoneGrid">Reference!$P$1:$S$6</definedName>
    <definedName name="RecTable">Reference!$U$1:$V$14</definedName>
  </definedNames>
  <calcPr calcId="171027"/>
</workbook>
</file>

<file path=xl/sharedStrings.xml><?xml version="1.0" encoding="utf-8"?>
<sst xmlns="http://schemas.openxmlformats.org/spreadsheetml/2006/main" count="597" uniqueCount="264">
  <si>
    <t>STAKEHOLDR</t>
  </si>
  <si>
    <t>Categories &amp; audience types</t>
  </si>
  <si>
    <t>Communities</t>
  </si>
  <si>
    <t>Government</t>
  </si>
  <si>
    <t>Our People</t>
  </si>
  <si>
    <t>Industry</t>
  </si>
  <si>
    <t>Consumers</t>
  </si>
  <si>
    <t>Investors</t>
  </si>
  <si>
    <t>Charity Organization</t>
  </si>
  <si>
    <t>Agency (Inspector)</t>
  </si>
  <si>
    <t>Community Outreach Lead</t>
  </si>
  <si>
    <t>Competition</t>
  </si>
  <si>
    <t>Industry Consumers</t>
  </si>
  <si>
    <t>Board Member</t>
  </si>
  <si>
    <t>Church</t>
  </si>
  <si>
    <t>Agency (Permit Writer)</t>
  </si>
  <si>
    <t>Diversity &amp; Inclusion Lead</t>
  </si>
  <si>
    <t>Supply Chain</t>
  </si>
  <si>
    <t>Current Customers</t>
  </si>
  <si>
    <t>Shareholder</t>
  </si>
  <si>
    <t>Community Alliance</t>
  </si>
  <si>
    <t>City Council Member</t>
  </si>
  <si>
    <t>Executive</t>
  </si>
  <si>
    <t>Trade Association</t>
  </si>
  <si>
    <t>Future Customers</t>
  </si>
  <si>
    <t>Activist Shareholder</t>
  </si>
  <si>
    <t>Higher Education</t>
  </si>
  <si>
    <t>City Government</t>
  </si>
  <si>
    <t>General Employee</t>
  </si>
  <si>
    <t>Channel Partners</t>
  </si>
  <si>
    <t>Lost Customers</t>
  </si>
  <si>
    <t>General Public Investor</t>
  </si>
  <si>
    <t>K-12 Educator</t>
  </si>
  <si>
    <t>County Government</t>
  </si>
  <si>
    <t>Former Employee</t>
  </si>
  <si>
    <t>Industry Analysts</t>
  </si>
  <si>
    <t>Local Business</t>
  </si>
  <si>
    <t>County Supervisor</t>
  </si>
  <si>
    <t>Contractor</t>
  </si>
  <si>
    <t>Business Coalition</t>
  </si>
  <si>
    <t>Media</t>
  </si>
  <si>
    <t>Governor's Office</t>
  </si>
  <si>
    <t>Operations Manager</t>
  </si>
  <si>
    <t>Economic Development</t>
  </si>
  <si>
    <t>Military Branch</t>
  </si>
  <si>
    <t>Judicial</t>
  </si>
  <si>
    <t>Marketing Manager</t>
  </si>
  <si>
    <t>Labor Union</t>
  </si>
  <si>
    <t>Neighbor</t>
  </si>
  <si>
    <t>Mayor</t>
  </si>
  <si>
    <t>Sales Manager</t>
  </si>
  <si>
    <t>NGO</t>
  </si>
  <si>
    <t>Regulator (Federal)</t>
  </si>
  <si>
    <t>Retiree</t>
  </si>
  <si>
    <t>Tribes</t>
  </si>
  <si>
    <t>Regulator (State)</t>
  </si>
  <si>
    <t>Veterans</t>
  </si>
  <si>
    <t>Regulator (Local)</t>
  </si>
  <si>
    <t>Youth Program</t>
  </si>
  <si>
    <t>State Representative</t>
  </si>
  <si>
    <t>Activist Organization</t>
  </si>
  <si>
    <t>State Senate</t>
  </si>
  <si>
    <t>Activist Member</t>
  </si>
  <si>
    <t>US Congress</t>
  </si>
  <si>
    <t>General Public</t>
  </si>
  <si>
    <t>US Senate</t>
  </si>
  <si>
    <t>Stakeholders exist in a public square where ideas are exchanged, your credibility is won or lost, and value is created, shared, or squandered.</t>
  </si>
  <si>
    <t>How to plan for and engage stakeholders</t>
  </si>
  <si>
    <t>Purpose</t>
  </si>
  <si>
    <t>Plan</t>
  </si>
  <si>
    <t>Execute</t>
  </si>
  <si>
    <t>1. Set goals for your organization</t>
  </si>
  <si>
    <t>5. Landscape analysis</t>
  </si>
  <si>
    <t>9. Launch campaign</t>
  </si>
  <si>
    <t>2. Issue identification</t>
  </si>
  <si>
    <t>6. Cross-functional teams alignment</t>
  </si>
  <si>
    <t>10. Ongoing stakeholder analysis</t>
  </si>
  <si>
    <t>3. Stakeholder identification</t>
  </si>
  <si>
    <t>7. Research &amp; listening sessions</t>
  </si>
  <si>
    <t>11. Collaborate with stakeholders</t>
  </si>
  <si>
    <t>4. Stakeholder prioritization</t>
  </si>
  <si>
    <t>8. Early stakeholder analysis &amp; modeling</t>
  </si>
  <si>
    <t>12. Realize shared value where possible</t>
  </si>
  <si>
    <t>How to read the stakeholder map</t>
  </si>
  <si>
    <t>X — Impact on the business:   Negative impact ◀ ▶ Positive impact</t>
  </si>
  <si>
    <t>Y — Influence in the community:   Less influence ▼ ▲ Greater influence</t>
  </si>
  <si>
    <t>Negative impact on organization</t>
  </si>
  <si>
    <t>The winnable middle</t>
  </si>
  <si>
    <t>Positive impact on organization</t>
  </si>
  <si>
    <t>• Defend license to operate</t>
  </si>
  <si>
    <t>• Dispel myths and misperceptions</t>
  </si>
  <si>
    <t>• Maximize shared value</t>
  </si>
  <si>
    <t>• Challenge misinformation</t>
  </si>
  <si>
    <t>• Appeal to their priorities</t>
  </si>
  <si>
    <t>• Maintain relationship</t>
  </si>
  <si>
    <t>• Plan for their influence in community</t>
  </si>
  <si>
    <t>• Identify shared value to move them our way</t>
  </si>
  <si>
    <t>• Champion their cause</t>
  </si>
  <si>
    <t>• Identify their reputation with audiences</t>
  </si>
  <si>
    <t>• Invest in relationship where possible</t>
  </si>
  <si>
    <t>• Recruit as public surrogates</t>
  </si>
  <si>
    <t>• "Influencer"</t>
  </si>
  <si>
    <t>• Identify our reputation with them</t>
  </si>
  <si>
    <t>• Communicate often</t>
  </si>
  <si>
    <t>Each zone: strategy &amp; recommended action</t>
  </si>
  <si>
    <t>Zone</t>
  </si>
  <si>
    <t>Tone</t>
  </si>
  <si>
    <t>Strategy — recommended action</t>
  </si>
  <si>
    <t>Proactively Defend</t>
  </si>
  <si>
    <t>Negative</t>
  </si>
  <si>
    <t>Address Key Influencer — Launch plan to neutralize a major threat to the industry or company's license to operate; leverage reputation, resources, subject-matter experts, and other allied stakeholders to win. Measure and report on activity often.</t>
  </si>
  <si>
    <t>Defend</t>
  </si>
  <si>
    <t>Neutralize Threat — Defend license to operate. Defend reputation against regular attacks from stakeholders with high influence who are unlikely to move toward positive support; discredit message or position. Measure and report on activity often.</t>
  </si>
  <si>
    <t>Protect</t>
  </si>
  <si>
    <t>Mobilize Defense — Take action with internal resources and strategy. Defend reputation against regular attacks; manage expectations for changing stakeholder dynamic or group's influence in the community. Measure and report on activity regularly.</t>
  </si>
  <si>
    <t>Respond</t>
  </si>
  <si>
    <t>Challenge Stakeholder — Implement plan to challenge misinformation; reduce stakeholder's ability to destabilize the business or challenge brand identity and reputation.</t>
  </si>
  <si>
    <t>Identify</t>
  </si>
  <si>
    <t>React To Issues Or Conflict — Work to neutralize threat; educate stakeholder; resolve or minimize the stakeholder's ability or willingness to maintain conflict. Assign internal staff, team, or working group to execute response.</t>
  </si>
  <si>
    <t>Monitor</t>
  </si>
  <si>
    <t>Winnable</t>
  </si>
  <si>
    <t>Plan Ahead, Listen — Map stakeholder and plan to respond in the event of change; assign internal staff, team, or working group to execute plan if necessary.</t>
  </si>
  <si>
    <t>Maintain</t>
  </si>
  <si>
    <t>Take Steps To Introduce Our Vision And Values — Take simple steps to engage; educate and create awareness about the business; look for ways to increase alignment and the stakeholder's influence over time.</t>
  </si>
  <si>
    <t>Connect</t>
  </si>
  <si>
    <t>Prioritize Resources Elsewhere — Take no action. Prioritize time and resources elsewhere but monitor for any negative changes in alignment or improved influence in the community over time.</t>
  </si>
  <si>
    <t>Commit</t>
  </si>
  <si>
    <t>Understand Needs, Work Towards Common Purpose — Build greater understanding between our company and stakeholder groups; look for opportunities to continue education and alignment that could lead to improved collaboration or affinity toward the business.</t>
  </si>
  <si>
    <t>Cooperate</t>
  </si>
  <si>
    <t>Positive</t>
  </si>
  <si>
    <t>Existing Alignment Produces Some Favorable Outcomes — Some value already exists and should continue with moderate level of commitment; maintain existing level of relationship.</t>
  </si>
  <si>
    <t>Collaborate</t>
  </si>
  <si>
    <t>Investing In Relationship Will Improve Our Business Or Reputation — Commitment important to our business; establish opportunities to work together and reap mutual benefits; leverage stakeholder's influence to increase our reputation.</t>
  </si>
  <si>
    <t>Valuable Relationship</t>
  </si>
  <si>
    <t>Stakeholder Important To Our Business Success — Stakeholder is an important surrogate, ally, or business partner. Investing in and growing this relationship proactively supports and defends the business and increases our reputation. Prioritize collaboration and deploying engagement strategies.</t>
  </si>
  <si>
    <t>High Value Relationship</t>
  </si>
  <si>
    <t>Shared Value Introduced — Moderate shared value introduced; investing and growing this relationship produces value for our business and increases our reputation. Prioritize collaboration and engaging the stakeholder often to meet business and advocacy goals.</t>
  </si>
  <si>
    <t>Strategic Partner</t>
  </si>
  <si>
    <t>Shared Value Created — Shared value created. Formalize a working relationship or partnership with the stakeholder to produce and measure shared value; relationship grows the business, increases our reputation, and produces solutions.</t>
  </si>
  <si>
    <t>How scores become coordinates</t>
  </si>
  <si>
    <t>On the Scoring tab, every teammate rates each stakeholder on x and y from −10 to 10. Each teammate also has a weight. The final coordinate is the weighted average of their scores. A teammate with weight 1.5 counts 1.5 times more than one with weight 1.0.</t>
  </si>
  <si>
    <t>final.x = Σ (member.x × member.weight) / Σ member.weight    |    final.y = Σ (member.y × member.weight) / Σ member.weight    |    zone = lookup(final.x, final.y)</t>
  </si>
  <si>
    <t>#</t>
  </si>
  <si>
    <t>Stakeholder (from Workspace)</t>
  </si>
  <si>
    <t>Alex Rivera</t>
  </si>
  <si>
    <t>Jordan Kim</t>
  </si>
  <si>
    <t>Sam Okafor</t>
  </si>
  <si>
    <t>Priya Patel</t>
  </si>
  <si>
    <t>Devon Wright</t>
  </si>
  <si>
    <t>Weighted X</t>
  </si>
  <si>
    <t>Weighted Y</t>
  </si>
  <si>
    <t>Weights →</t>
  </si>
  <si>
    <t>Sum w</t>
  </si>
  <si>
    <t>Stakeholder</t>
  </si>
  <si>
    <t>x</t>
  </si>
  <si>
    <t>y</t>
  </si>
  <si>
    <t>Organization</t>
  </si>
  <si>
    <t>Category</t>
  </si>
  <si>
    <t>Type</t>
  </si>
  <si>
    <t>Market</t>
  </si>
  <si>
    <t>Region</t>
  </si>
  <si>
    <t>Geography</t>
  </si>
  <si>
    <t>State</t>
  </si>
  <si>
    <t>Site</t>
  </si>
  <si>
    <t>Priority</t>
  </si>
  <si>
    <t>Relationship</t>
  </si>
  <si>
    <t>Status</t>
  </si>
  <si>
    <t>Notes</t>
  </si>
  <si>
    <t>xBand</t>
  </si>
  <si>
    <t>yBand</t>
  </si>
  <si>
    <t>Mayor Maria Chen</t>
  </si>
  <si>
    <t>City of Cedarville</t>
  </si>
  <si>
    <t>Americas</t>
  </si>
  <si>
    <t>United States</t>
  </si>
  <si>
    <t>Local</t>
  </si>
  <si>
    <t>California</t>
  </si>
  <si>
    <t>Palo Alto, CA</t>
  </si>
  <si>
    <t>High</t>
  </si>
  <si>
    <t>Active</t>
  </si>
  <si>
    <t>Generally supportive; cares about local jobs and waterfront access.</t>
  </si>
  <si>
    <t>Cedarville Chamber</t>
  </si>
  <si>
    <t/>
  </si>
  <si>
    <t>Medium</t>
  </si>
  <si>
    <t>Strong partner on workforce initiatives.</t>
  </si>
  <si>
    <t>Riverside Tribune</t>
  </si>
  <si>
    <t>Beat reporter looking for new angles on emissions story.</t>
  </si>
  <si>
    <t>Local 412 Steelworkers</t>
  </si>
  <si>
    <t>Oregon</t>
  </si>
  <si>
    <t>Corvallis, OR</t>
  </si>
  <si>
    <t>Contract negotiations open in Q3.</t>
  </si>
  <si>
    <t>Rep. James Park</t>
  </si>
  <si>
    <t>US House of Representatives</t>
  </si>
  <si>
    <t>Federal</t>
  </si>
  <si>
    <t>Supportive on permitting reform.</t>
  </si>
  <si>
    <t>Save Our River Coalition</t>
  </si>
  <si>
    <t>Watch</t>
  </si>
  <si>
    <t>Filed FOIA on discharge permits in March.</t>
  </si>
  <si>
    <t>State EPA</t>
  </si>
  <si>
    <t>Air-permit renewal in review.</t>
  </si>
  <si>
    <t>Pinewood Schools</t>
  </si>
  <si>
    <t>Washington</t>
  </si>
  <si>
    <t>Vancouver, WA</t>
  </si>
  <si>
    <t>STEM partnership renewing this fall.</t>
  </si>
  <si>
    <t>First Methodist</t>
  </si>
  <si>
    <t>Low</t>
  </si>
  <si>
    <t>Dormant</t>
  </si>
  <si>
    <t>Pastor open to facility tours.</t>
  </si>
  <si>
    <t>VFW Post 117</t>
  </si>
  <si>
    <t>Hosted community day in April.</t>
  </si>
  <si>
    <t>Riverbend Hospital Board</t>
  </si>
  <si>
    <t>Quarterly briefing scheduled.</t>
  </si>
  <si>
    <t>Helios Capital</t>
  </si>
  <si>
    <t>National (all)</t>
  </si>
  <si>
    <t>Submitted proxy proposal on board composition.</t>
  </si>
  <si>
    <t>Bayside Distribution</t>
  </si>
  <si>
    <t>Renewing distribution contract.</t>
  </si>
  <si>
    <t>Sarah Voss</t>
  </si>
  <si>
    <t>Internal Operations</t>
  </si>
  <si>
    <t>VP Ops; champion for plant modernization.</t>
  </si>
  <si>
    <t>Cedar Valley Tribes Council</t>
  </si>
  <si>
    <t>Consultation on watershed plan ongoing.</t>
  </si>
  <si>
    <t>County Supervisor Elena Reyes</t>
  </si>
  <si>
    <t>Cedarville County</t>
  </si>
  <si>
    <t>Texas</t>
  </si>
  <si>
    <t>Houston, TX</t>
  </si>
  <si>
    <t>Up for re-election in November.</t>
  </si>
  <si>
    <t>European Commission DG ENV</t>
  </si>
  <si>
    <t>EMEA</t>
  </si>
  <si>
    <t>Europe</t>
  </si>
  <si>
    <t>Sustainability disclosure rules in consultation.</t>
  </si>
  <si>
    <t>BUND Germany</t>
  </si>
  <si>
    <t>Coalition partner on packaging directive.</t>
  </si>
  <si>
    <t>DigitalEurope</t>
  </si>
  <si>
    <t>Working group lead on AI Act compliance.</t>
  </si>
  <si>
    <t>Brazilian E-Waste Coalition</t>
  </si>
  <si>
    <t>LATAM</t>
  </si>
  <si>
    <t>Brazil</t>
  </si>
  <si>
    <t>Supplies take-back program partner.</t>
  </si>
  <si>
    <t>STAKEHOLDR MAP</t>
  </si>
  <si>
    <t>IMPACT ON THE BUSINESS ▶</t>
  </si>
  <si>
    <t>x &lt; -5</t>
  </si>
  <si>
    <t>-5 to 0</t>
  </si>
  <si>
    <t>0 to 5</t>
  </si>
  <si>
    <t>x &gt; 5</t>
  </si>
  <si>
    <t>Recommendation</t>
  </si>
  <si>
    <t>INFLUENCE IN THE COMMUNITY ▲</t>
  </si>
  <si>
    <t>y &gt; 5</t>
  </si>
  <si>
    <t>2.5 to 5</t>
  </si>
  <si>
    <t>0 to 2.5</t>
  </si>
  <si>
    <t>-2.5 to 0</t>
  </si>
  <si>
    <t>-5 to -2.5</t>
  </si>
  <si>
    <t>y &lt; -5</t>
  </si>
  <si>
    <t>← Works against you</t>
  </si>
  <si>
    <t>↑ Greater community influence  ·  ↓ Less community influence</t>
  </si>
  <si>
    <t>Works with you →</t>
  </si>
  <si>
    <t>Canada</t>
  </si>
  <si>
    <t>Mexico</t>
  </si>
  <si>
    <t>APJ</t>
  </si>
  <si>
    <t>Inactive</t>
  </si>
  <si>
    <t>Other Countries</t>
  </si>
  <si>
    <t>Middle East</t>
  </si>
  <si>
    <t>Africa</t>
  </si>
  <si>
    <t>Emerging APAC</t>
  </si>
  <si>
    <t>Japan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</si>
</sst>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5" x14ac:knownFonts="1">
    <font>
      <color theme="1"/>
      <family val="2"/>
      <scheme val="minor"/>
      <sz val="11"/>
      <name val="Calibri"/>
    </font>
    <font>
      <b/>
      <color rgb="FF3D3B39"/>
      <sz val="24"/>
      <name val="Newsreader"/>
    </font>
    <font>
      <b/>
      <color rgb="FF3D3B39"/>
      <sz val="14"/>
      <name val="Newsreader"/>
    </font>
    <font>
      <b/>
      <color rgb="FF3D3B39"/>
      <sz val="11"/>
      <name val="Inter"/>
    </font>
    <font>
      <color rgb="FF666361"/>
      <sz val="11"/>
      <name val="Inter"/>
    </font>
    <font>
      <i/>
      <color rgb="FF666361"/>
      <sz val="13"/>
      <name val="Newsreader"/>
    </font>
    <font>
      <b/>
      <color rgb="FF666361"/>
      <sz val="11"/>
      <name val="Inter"/>
    </font>
    <font>
      <b/>
      <color rgb="FFFFFFFF"/>
      <sz val="11"/>
      <name val="Inter"/>
    </font>
    <font>
      <b/>
      <color rgb="FF7A2424"/>
      <sz val="11"/>
      <name val="Inter"/>
    </font>
    <font>
      <b/>
      <color rgb="FF7A4A14"/>
      <sz val="11"/>
      <name val="Inter"/>
    </font>
    <font>
      <b/>
      <color rgb="FF2F5A26"/>
      <sz val="11"/>
      <name val="Inter"/>
    </font>
    <font>
      <i/>
      <color rgb="FFABA9A4"/>
      <sz val="11"/>
      <name val="Inter"/>
    </font>
    <font>
      <b/>
      <color rgb="FF3B6EA5"/>
      <sz val="11"/>
      <name val="Inter"/>
    </font>
    <font>
      <b/>
      <color rgb="FF3D3B39"/>
      <sz val="18"/>
      <name val="Newsreader"/>
    </font>
    <font>
      <b/>
      <color rgb="FFABA9A4"/>
      <sz val="11"/>
      <name val="Inter"/>
    </font>
  </fonts>
  <fills count="19">
    <fill>
      <patternFill patternType="none"/>
    </fill>
    <fill>
      <patternFill patternType="gray125"/>
    </fill>
    <fill>
      <patternFill patternType="solid">
        <fgColor rgb="FFC2D9A4"/>
      </patternFill>
    </fill>
    <fill>
      <patternFill patternType="solid">
        <fgColor rgb="FF97C57A"/>
      </patternFill>
    </fill>
    <fill>
      <patternFill patternType="solid">
        <fgColor rgb="FFF4DBB0"/>
      </patternFill>
    </fill>
    <fill>
      <patternFill patternType="solid">
        <fgColor rgb="FFB1CF92"/>
      </patternFill>
    </fill>
    <fill>
      <patternFill patternType="solid">
        <fgColor rgb="FFDDE7C2"/>
      </patternFill>
    </fill>
    <fill>
      <patternFill patternType="solid">
        <fgColor rgb="FFEFBEBE"/>
      </patternFill>
    </fill>
    <fill>
      <patternFill patternType="solid">
        <fgColor rgb="FFF0EEE6"/>
      </patternFill>
    </fill>
    <fill>
      <patternFill patternType="solid">
        <fgColor rgb="FFF9E4BD"/>
      </patternFill>
    </fill>
    <fill>
      <patternFill patternType="solid">
        <fgColor rgb="FFD26A6A"/>
      </patternFill>
    </fill>
    <fill>
      <patternFill patternType="solid">
        <fgColor rgb="FFE29A9A"/>
      </patternFill>
    </fill>
    <fill>
      <patternFill patternType="solid">
        <fgColor rgb="FFF4D6D6"/>
      </patternFill>
    </fill>
    <fill>
      <patternFill patternType="solid">
        <fgColor rgb="FFF8E4E4"/>
      </patternFill>
    </fill>
    <fill>
      <patternFill patternType="solid">
        <fgColor rgb="FFFCEFD1"/>
      </patternFill>
    </fill>
    <fill>
      <patternFill patternType="solid">
        <fgColor rgb="FFFAEACA"/>
      </patternFill>
    </fill>
    <fill>
      <patternFill patternType="solid">
        <fgColor rgb="FF74B556"/>
      </patternFill>
    </fill>
    <fill>
      <patternFill patternType="solid">
        <fgColor rgb="FFF8F7F3"/>
      </patternFill>
    </fill>
    <fill>
      <patternFill patternType="solid">
        <fgColor rgb="FFFFFFFF"/>
      </patternFill>
    </fill>
  </fills>
  <borders count="3">
    <border>
      <left/>
      <right/>
      <top/>
      <bottom/>
      <diagonal/>
    </border>
    <border>
      <left style="thin">
        <color rgb="FFE8E6DE"/>
      </left>
      <right style="thin">
        <color rgb="FFE8E6DE"/>
      </right>
      <top style="thin">
        <color rgb="FFE8E6DE"/>
      </top>
      <bottom style="thin">
        <color rgb="FFE8E6DE"/>
      </bottom>
      <diagonal/>
    </border>
    <border>
      <left style="medium">
        <color rgb="FF3B6EA5"/>
      </left>
      <right style="medium">
        <color rgb="FF3B6EA5"/>
      </right>
      <top style="medium">
        <color rgb="FF3B6EA5"/>
      </top>
      <bottom style="medium">
        <color rgb="FF3B6EA5"/>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xf>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3" fillId="6" borderId="1" xfId="0" applyFont="1" applyFill="1" applyBorder="1" applyAlignment="1">
      <alignment horizontal="center"/>
    </xf>
    <xf numFmtId="0" fontId="3" fillId="7" borderId="1" xfId="0" applyFont="1" applyFill="1" applyBorder="1" applyAlignment="1">
      <alignment horizontal="center"/>
    </xf>
    <xf numFmtId="0" fontId="4" fillId="0" borderId="1" xfId="0" applyFont="1" applyBorder="1"/>
    <xf numFmtId="0" fontId="5" fillId="0" borderId="0" xfId="0" applyFont="1" applyAlignment="1">
      <alignment vertical="center" wrapText="1"/>
    </xf>
    <xf numFmtId="0" fontId="3" fillId="8" borderId="1" xfId="0" applyFont="1" applyFill="1" applyBorder="1" applyAlignment="1">
      <alignment horizontal="center"/>
    </xf>
    <xf numFmtId="0" fontId="4" fillId="0" borderId="0" xfId="0" applyFont="1" applyAlignment="1">
      <alignment wrapText="1"/>
    </xf>
    <xf numFmtId="0" fontId="6" fillId="0" borderId="0" xfId="0" applyFont="1"/>
    <xf numFmtId="0" fontId="3" fillId="7" borderId="1" xfId="0" applyFont="1" applyFill="1" applyBorder="1" applyAlignment="1">
      <alignment horizontal="center" wrapText="1"/>
    </xf>
    <xf numFmtId="0" fontId="3" fillId="9" borderId="1" xfId="0" applyFont="1" applyFill="1" applyBorder="1" applyAlignment="1">
      <alignment horizontal="center" wrapText="1"/>
    </xf>
    <xf numFmtId="0" fontId="3" fillId="2" borderId="1" xfId="0" applyFont="1" applyFill="1" applyBorder="1" applyAlignment="1">
      <alignment horizontal="center" wrapText="1"/>
    </xf>
    <xf numFmtId="0" fontId="3" fillId="8" borderId="1" xfId="0" applyFont="1" applyFill="1" applyBorder="1"/>
    <xf numFmtId="0" fontId="7" fillId="10" borderId="1" xfId="0" applyFont="1" applyFill="1" applyBorder="1"/>
    <xf numFmtId="0" fontId="8" fillId="11" borderId="1" xfId="0" applyFont="1" applyFill="1" applyBorder="1"/>
    <xf numFmtId="0" fontId="8" fillId="7" borderId="1" xfId="0" applyFont="1" applyFill="1" applyBorder="1"/>
    <xf numFmtId="0" fontId="8" fillId="12" borderId="1" xfId="0" applyFont="1" applyFill="1" applyBorder="1"/>
    <xf numFmtId="0" fontId="8" fillId="13" borderId="1" xfId="0" applyFont="1" applyFill="1" applyBorder="1"/>
    <xf numFmtId="0" fontId="9" fillId="4" borderId="1" xfId="0" applyFont="1" applyFill="1" applyBorder="1"/>
    <xf numFmtId="0" fontId="9" fillId="9" borderId="1" xfId="0" applyFont="1" applyFill="1" applyBorder="1"/>
    <xf numFmtId="0" fontId="9" fillId="14" borderId="1" xfId="0" applyFont="1" applyFill="1" applyBorder="1"/>
    <xf numFmtId="0" fontId="9" fillId="15" borderId="1" xfId="0" applyFont="1" applyFill="1" applyBorder="1"/>
    <xf numFmtId="0" fontId="10" fillId="6" borderId="1" xfId="0" applyFont="1" applyFill="1" applyBorder="1"/>
    <xf numFmtId="0" fontId="10" fillId="2" borderId="1" xfId="0" applyFont="1" applyFill="1" applyBorder="1"/>
    <xf numFmtId="0" fontId="10" fillId="5" borderId="1" xfId="0" applyFont="1" applyFill="1" applyBorder="1"/>
    <xf numFmtId="0" fontId="10" fillId="3" borderId="1" xfId="0" applyFont="1" applyFill="1" applyBorder="1"/>
    <xf numFmtId="0" fontId="7" fillId="16" borderId="1" xfId="0" applyFont="1" applyFill="1" applyBorder="1"/>
    <xf numFmtId="0" fontId="4" fillId="0" borderId="0" xfId="0" applyFont="1" applyAlignment="1">
      <alignment vertical="top" wrapText="1"/>
    </xf>
    <xf numFmtId="0" fontId="4" fillId="17" borderId="0" xfId="0" applyFont="1" applyFill="1" applyAlignment="1">
      <alignment wrapText="1"/>
    </xf>
    <xf numFmtId="0" fontId="3" fillId="8" borderId="1" xfId="0" applyFont="1" applyFill="1" applyBorder="1" applyAlignment="1">
      <alignment horizontal="center" vertical="center"/>
    </xf>
    <xf numFmtId="0" fontId="11" fillId="0" borderId="0" xfId="0" applyFont="1"/>
    <xf numFmtId="0" fontId="12" fillId="18" borderId="2" xfId="0" applyFont="1" applyFill="1" applyBorder="1" applyAlignment="1">
      <alignment horizontal="center"/>
    </xf>
    <xf numFmtId="164" fontId="0" fillId="0" borderId="0" xfId="0" applyNumberFormat="1"/>
    <xf numFmtId="0" fontId="3" fillId="8" borderId="1" xfId="0" applyFont="1" applyFill="1" applyBorder="1" applyAlignment="1">
      <alignment vertical="center"/>
    </xf>
    <xf numFmtId="164" fontId="3" fillId="8" borderId="1" xfId="0" applyNumberFormat="1" applyFont="1" applyFill="1" applyBorder="1" applyAlignment="1">
      <alignment vertical="center"/>
    </xf>
    <xf numFmtId="0" fontId="10" fillId="5" borderId="0" xfId="0" applyFont="1" applyFill="1"/>
    <xf numFmtId="0" fontId="10" fillId="3" borderId="0" xfId="0" applyFont="1" applyFill="1"/>
    <xf numFmtId="0" fontId="8" fillId="11" borderId="0" xfId="0" applyFont="1" applyFill="1"/>
    <xf numFmtId="0" fontId="7" fillId="16" borderId="0" xfId="0" applyFont="1" applyFill="1"/>
    <xf numFmtId="0" fontId="7" fillId="10" borderId="0" xfId="0" applyFont="1" applyFill="1"/>
    <xf numFmtId="0" fontId="10" fillId="2" borderId="0" xfId="0" applyFont="1" applyFill="1"/>
    <xf numFmtId="0" fontId="9" fillId="15" borderId="0" xfId="0" applyFont="1" applyFill="1"/>
    <xf numFmtId="0" fontId="8" fillId="7" borderId="0" xfId="0" applyFont="1" applyFill="1"/>
    <xf numFmtId="0" fontId="13" fillId="0" borderId="0" xfId="0" applyFont="1"/>
    <xf numFmtId="0" fontId="3" fillId="0" borderId="0" xfId="0" applyFont="1" applyAlignment="1">
      <alignment horizontal="center"/>
    </xf>
    <xf numFmtId="0" fontId="14" fillId="8" borderId="1" xfId="0" applyFont="1" applyFill="1" applyBorder="1" applyAlignment="1">
      <alignment horizontal="center"/>
    </xf>
    <xf numFmtId="0" fontId="3" fillId="0" borderId="0" xfId="0" applyFont="1" applyAlignment="1">
      <alignment horizontal="center" vertical="center" textRotation="90"/>
    </xf>
    <xf numFmtId="0" fontId="14" fillId="8" borderId="1" xfId="0" applyFont="1" applyFill="1" applyBorder="1" applyAlignment="1">
      <alignment horizontal="center" vertical="center"/>
    </xf>
    <xf numFmtId="0" fontId="7" fillId="10" borderId="1" xfId="0" applyFont="1" applyFill="1" applyBorder="1" applyAlignment="1">
      <alignment horizontal="left" vertical="top" wrapText="1"/>
    </xf>
    <xf numFmtId="0" fontId="8" fillId="11" borderId="1" xfId="0" applyFont="1" applyFill="1" applyBorder="1" applyAlignment="1">
      <alignment horizontal="left" vertical="top" wrapText="1"/>
    </xf>
    <xf numFmtId="0" fontId="10" fillId="5" borderId="1" xfId="0" applyFont="1" applyFill="1" applyBorder="1" applyAlignment="1">
      <alignment horizontal="left" vertical="top" wrapText="1"/>
    </xf>
    <xf numFmtId="0" fontId="7" fillId="16" borderId="1" xfId="0" applyFont="1" applyFill="1" applyBorder="1" applyAlignment="1">
      <alignment horizontal="left" vertical="top" wrapText="1"/>
    </xf>
    <xf numFmtId="0" fontId="8" fillId="7" borderId="1" xfId="0" applyFont="1" applyFill="1" applyBorder="1" applyAlignment="1">
      <alignment horizontal="left" vertical="top" wrapText="1"/>
    </xf>
    <xf numFmtId="0" fontId="10" fillId="2" borderId="1" xfId="0" applyFont="1" applyFill="1" applyBorder="1" applyAlignment="1">
      <alignment horizontal="left" vertical="top" wrapText="1"/>
    </xf>
    <xf numFmtId="0" fontId="10" fillId="3" borderId="1" xfId="0" applyFont="1" applyFill="1" applyBorder="1" applyAlignment="1">
      <alignment horizontal="left" vertical="top" wrapText="1"/>
    </xf>
    <xf numFmtId="0" fontId="8" fillId="1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8" fillId="13" borderId="1" xfId="0" applyFont="1" applyFill="1" applyBorder="1" applyAlignment="1">
      <alignment horizontal="left" vertical="top" wrapText="1"/>
    </xf>
    <xf numFmtId="0" fontId="9" fillId="15" borderId="1" xfId="0" applyFont="1" applyFill="1" applyBorder="1" applyAlignment="1">
      <alignment horizontal="left" vertical="top" wrapText="1"/>
    </xf>
    <xf numFmtId="0" fontId="9" fillId="4" borderId="1" xfId="0" applyFont="1" applyFill="1" applyBorder="1" applyAlignment="1">
      <alignment horizontal="left" vertical="top" wrapText="1"/>
    </xf>
    <xf numFmtId="0" fontId="9" fillId="9"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11" fillId="0" borderId="0" xfId="0" applyFont="1" applyAlignment="1">
      <alignment horizontal="center"/>
    </xf>
    <xf numFmtId="0" fontId="11" fillId="0" borderId="0" xfId="0" applyFont="1" applyAlignment="1">
      <alignment horizontal="right"/>
    </xf>
  </cellXfs>
  <cellStyles count="1">
    <cellStyle name="Normal" xfId="0" builtinId="0"/>
  </cellStyles>
  <dxfs count="28">
    <dxf>
      <font>
        <b/>
        <color rgb="FFFFFFFF"/>
      </font>
      <fill>
        <patternFill patternType="solid">
          <bgColor rgb="FFD26A6A"/>
        </patternFill>
      </fill>
    </dxf>
    <dxf>
      <font>
        <b/>
        <color rgb="FF7A2424"/>
      </font>
      <fill>
        <patternFill patternType="solid">
          <bgColor rgb="FFE29A9A"/>
        </patternFill>
      </fill>
    </dxf>
    <dxf>
      <font>
        <b/>
        <color rgb="FF7A2424"/>
      </font>
      <fill>
        <patternFill patternType="solid">
          <bgColor rgb="FFEFBEBE"/>
        </patternFill>
      </fill>
    </dxf>
    <dxf>
      <font>
        <b/>
        <color rgb="FF7A2424"/>
      </font>
      <fill>
        <patternFill patternType="solid">
          <bgColor rgb="FFF4D6D6"/>
        </patternFill>
      </fill>
    </dxf>
    <dxf>
      <font>
        <b/>
        <color rgb="FF7A2424"/>
      </font>
      <fill>
        <patternFill patternType="solid">
          <bgColor rgb="FFF8E4E4"/>
        </patternFill>
      </fill>
    </dxf>
    <dxf>
      <font>
        <b/>
        <color rgb="FF7A4A14"/>
      </font>
      <fill>
        <patternFill patternType="solid">
          <bgColor rgb="FFF4DBB0"/>
        </patternFill>
      </fill>
    </dxf>
    <dxf>
      <font>
        <b/>
        <color rgb="FF7A4A14"/>
      </font>
      <fill>
        <patternFill patternType="solid">
          <bgColor rgb="FFF9E4BD"/>
        </patternFill>
      </fill>
    </dxf>
    <dxf>
      <font>
        <b/>
        <color rgb="FF7A4A14"/>
      </font>
      <fill>
        <patternFill patternType="solid">
          <bgColor rgb="FFFCEFD1"/>
        </patternFill>
      </fill>
    </dxf>
    <dxf>
      <font>
        <b/>
        <color rgb="FF7A4A14"/>
      </font>
      <fill>
        <patternFill patternType="solid">
          <bgColor rgb="FFFAEACA"/>
        </patternFill>
      </fill>
    </dxf>
    <dxf>
      <font>
        <b/>
        <color rgb="FF2F5A26"/>
      </font>
      <fill>
        <patternFill patternType="solid">
          <bgColor rgb="FFDDE7C2"/>
        </patternFill>
      </fill>
    </dxf>
    <dxf>
      <font>
        <b/>
        <color rgb="FF2F5A26"/>
      </font>
      <fill>
        <patternFill patternType="solid">
          <bgColor rgb="FFC2D9A4"/>
        </patternFill>
      </fill>
    </dxf>
    <dxf>
      <font>
        <b/>
        <color rgb="FF2F5A26"/>
      </font>
      <fill>
        <patternFill patternType="solid">
          <bgColor rgb="FFB1CF92"/>
        </patternFill>
      </fill>
    </dxf>
    <dxf>
      <font>
        <b/>
        <color rgb="FF2F5A26"/>
      </font>
      <fill>
        <patternFill patternType="solid">
          <bgColor rgb="FF97C57A"/>
        </patternFill>
      </fill>
    </dxf>
    <dxf>
      <font>
        <b/>
        <color rgb="FFFFFFFF"/>
      </font>
      <fill>
        <patternFill patternType="solid">
          <bgColor rgb="FF74B556"/>
        </patternFill>
      </fill>
    </dxf>
    <dxf>
      <font>
        <b/>
        <color rgb="FFFFFFFF"/>
      </font>
      <fill>
        <patternFill patternType="solid">
          <bgColor rgb="FFD26A6A"/>
        </patternFill>
      </fill>
    </dxf>
    <dxf>
      <font>
        <b/>
        <color rgb="FF7A2424"/>
      </font>
      <fill>
        <patternFill patternType="solid">
          <bgColor rgb="FFE29A9A"/>
        </patternFill>
      </fill>
    </dxf>
    <dxf>
      <font>
        <b/>
        <color rgb="FF7A2424"/>
      </font>
      <fill>
        <patternFill patternType="solid">
          <bgColor rgb="FFEFBEBE"/>
        </patternFill>
      </fill>
    </dxf>
    <dxf>
      <font>
        <b/>
        <color rgb="FF7A2424"/>
      </font>
      <fill>
        <patternFill patternType="solid">
          <bgColor rgb="FFF4D6D6"/>
        </patternFill>
      </fill>
    </dxf>
    <dxf>
      <font>
        <b/>
        <color rgb="FF7A2424"/>
      </font>
      <fill>
        <patternFill patternType="solid">
          <bgColor rgb="FFF8E4E4"/>
        </patternFill>
      </fill>
    </dxf>
    <dxf>
      <font>
        <b/>
        <color rgb="FF7A4A14"/>
      </font>
      <fill>
        <patternFill patternType="solid">
          <bgColor rgb="FFF4DBB0"/>
        </patternFill>
      </fill>
    </dxf>
    <dxf>
      <font>
        <b/>
        <color rgb="FF7A4A14"/>
      </font>
      <fill>
        <patternFill patternType="solid">
          <bgColor rgb="FFF9E4BD"/>
        </patternFill>
      </fill>
    </dxf>
    <dxf>
      <font>
        <b/>
        <color rgb="FF7A4A14"/>
      </font>
      <fill>
        <patternFill patternType="solid">
          <bgColor rgb="FFFCEFD1"/>
        </patternFill>
      </fill>
    </dxf>
    <dxf>
      <font>
        <b/>
        <color rgb="FF7A4A14"/>
      </font>
      <fill>
        <patternFill patternType="solid">
          <bgColor rgb="FFFAEACA"/>
        </patternFill>
      </fill>
    </dxf>
    <dxf>
      <font>
        <b/>
        <color rgb="FF2F5A26"/>
      </font>
      <fill>
        <patternFill patternType="solid">
          <bgColor rgb="FFDDE7C2"/>
        </patternFill>
      </fill>
    </dxf>
    <dxf>
      <font>
        <b/>
        <color rgb="FF2F5A26"/>
      </font>
      <fill>
        <patternFill patternType="solid">
          <bgColor rgb="FFC2D9A4"/>
        </patternFill>
      </fill>
    </dxf>
    <dxf>
      <font>
        <b/>
        <color rgb="FF2F5A26"/>
      </font>
      <fill>
        <patternFill patternType="solid">
          <bgColor rgb="FFB1CF92"/>
        </patternFill>
      </fill>
    </dxf>
    <dxf>
      <font>
        <b/>
        <color rgb="FF2F5A26"/>
      </font>
      <fill>
        <patternFill patternType="solid">
          <bgColor rgb="FF97C57A"/>
        </patternFill>
      </fill>
    </dxf>
    <dxf>
      <font>
        <b/>
        <color rgb="FFFFFFFF"/>
      </font>
      <fill>
        <patternFill patternType="solid">
          <bgColor rgb="FF74B55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c="http://schemas.openxmlformats.org/drawingml/2006/chart" xmlns:a="http://schemas.openxmlformats.org/drawingml/2006/main" xmlns:r="http://schemas.openxmlformats.org/officeDocument/2006/relationships" xmlns:c15="http://schemas.microsoft.com/office/drawing/2012/chart">
  <c:chart>
    <c:title>
      <c:tx>
        <c:rich>
          <a:bodyPr/>
          <a:p>
            <a:r>
              <a:t>Stakeholder Map</a:t>
            </a:r>
          </a:p>
        </c:rich>
      </c:tx>
      <c:overlay val="0"/>
    </c:title>
    <c:autoTitleDeleted val="0"/>
    <c:plotArea>
      <c:layout/>
      <c:scatterChart>
        <c:scatterStyle val="marker"/>
        <c:varyColors val="0"/>
        <c:ser>
          <c:idx val="0"/>
          <c:order val="0"/>
          <c:tx>
            <c:strRef>
              <c:f>Map!$A$1</c:f>
              <c:strCache>
                <c:ptCount val="1"/>
                <c:pt idx="0">
                  <c:v>Stakeholders</c:v>
                </c:pt>
              </c:strCache>
            </c:strRef>
          </c:tx>
          <c:spPr>
            <a:ln w="19050">
              <a:noFill/>
            </a:ln>
          </c:spPr>
          <c:marker>
            <c:symbol val="circle"/>
            <c:size val="7"/>
          </c:marker>
          <c:dPt>
            <c:idx val="0"/>
            <c:invertIfNegative val="0"/>
            <c:bubble3D val="0"/>
            <c:marker>
              <c:symbol val="circle"/>
              <c:size val="7"/>
              <c:spPr>
                <a:solidFill>
                  <a:srgbClr val="B1CF92"/>
                </a:solidFill>
                <a:ln>
                  <a:solidFill>
                    <a:srgbClr val="3D3B39"/>
                  </a:solidFill>
                </a:ln>
              </c:spPr>
            </c:marker>
          </c:dPt>
          <c:dPt>
            <c:idx val="1"/>
            <c:invertIfNegative val="0"/>
            <c:bubble3D val="0"/>
            <c:marker>
              <c:symbol val="circle"/>
              <c:size val="7"/>
              <c:spPr>
                <a:solidFill>
                  <a:srgbClr val="97C57A"/>
                </a:solidFill>
                <a:ln>
                  <a:solidFill>
                    <a:srgbClr val="3D3B39"/>
                  </a:solidFill>
                </a:ln>
              </c:spPr>
            </c:marker>
          </c:dPt>
          <c:dPt>
            <c:idx val="2"/>
            <c:invertIfNegative val="0"/>
            <c:bubble3D val="0"/>
            <c:marker>
              <c:symbol val="circle"/>
              <c:size val="7"/>
              <c:spPr>
                <a:solidFill>
                  <a:srgbClr val="E29A9A"/>
                </a:solidFill>
                <a:ln>
                  <a:solidFill>
                    <a:srgbClr val="3D3B39"/>
                  </a:solidFill>
                </a:ln>
              </c:spPr>
            </c:marker>
          </c:dPt>
          <c:dPt>
            <c:idx val="3"/>
            <c:invertIfNegative val="0"/>
            <c:bubble3D val="0"/>
            <c:marker>
              <c:symbol val="circle"/>
              <c:size val="7"/>
              <c:spPr>
                <a:solidFill>
                  <a:srgbClr val="B1CF92"/>
                </a:solidFill>
                <a:ln>
                  <a:solidFill>
                    <a:srgbClr val="3D3B39"/>
                  </a:solidFill>
                </a:ln>
              </c:spPr>
            </c:marker>
          </c:dPt>
          <c:dPt>
            <c:idx val="4"/>
            <c:invertIfNegative val="0"/>
            <c:bubble3D val="0"/>
            <c:marker>
              <c:symbol val="circle"/>
              <c:size val="7"/>
              <c:spPr>
                <a:solidFill>
                  <a:srgbClr val="74B556"/>
                </a:solidFill>
                <a:ln>
                  <a:solidFill>
                    <a:srgbClr val="3D3B39"/>
                  </a:solidFill>
                </a:ln>
              </c:spPr>
            </c:marker>
          </c:dPt>
          <c:dPt>
            <c:idx val="5"/>
            <c:invertIfNegative val="0"/>
            <c:bubble3D val="0"/>
            <c:marker>
              <c:symbol val="circle"/>
              <c:size val="7"/>
              <c:spPr>
                <a:solidFill>
                  <a:srgbClr val="D26A6A"/>
                </a:solidFill>
                <a:ln>
                  <a:solidFill>
                    <a:srgbClr val="3D3B39"/>
                  </a:solidFill>
                </a:ln>
              </c:spPr>
            </c:marker>
          </c:dPt>
          <c:dPt>
            <c:idx val="6"/>
            <c:invertIfNegative val="0"/>
            <c:bubble3D val="0"/>
            <c:marker>
              <c:symbol val="circle"/>
              <c:size val="7"/>
              <c:spPr>
                <a:solidFill>
                  <a:srgbClr val="E29A9A"/>
                </a:solidFill>
                <a:ln>
                  <a:solidFill>
                    <a:srgbClr val="3D3B39"/>
                  </a:solidFill>
                </a:ln>
              </c:spPr>
            </c:marker>
          </c:dPt>
          <c:dPt>
            <c:idx val="7"/>
            <c:invertIfNegative val="0"/>
            <c:bubble3D val="0"/>
            <c:marker>
              <c:symbol val="circle"/>
              <c:size val="7"/>
              <c:spPr>
                <a:solidFill>
                  <a:srgbClr val="C2D9A4"/>
                </a:solidFill>
                <a:ln>
                  <a:solidFill>
                    <a:srgbClr val="3D3B39"/>
                  </a:solidFill>
                </a:ln>
              </c:spPr>
            </c:marker>
          </c:dPt>
          <c:dPt>
            <c:idx val="8"/>
            <c:invertIfNegative val="0"/>
            <c:bubble3D val="0"/>
            <c:marker>
              <c:symbol val="circle"/>
              <c:size val="7"/>
              <c:spPr>
                <a:solidFill>
                  <a:srgbClr val="FAEACA"/>
                </a:solidFill>
                <a:ln>
                  <a:solidFill>
                    <a:srgbClr val="3D3B39"/>
                  </a:solidFill>
                </a:ln>
              </c:spPr>
            </c:marker>
          </c:dPt>
          <c:dPt>
            <c:idx val="9"/>
            <c:invertIfNegative val="0"/>
            <c:bubble3D val="0"/>
            <c:marker>
              <c:symbol val="circle"/>
              <c:size val="7"/>
              <c:spPr>
                <a:solidFill>
                  <a:srgbClr val="C2D9A4"/>
                </a:solidFill>
                <a:ln>
                  <a:solidFill>
                    <a:srgbClr val="3D3B39"/>
                  </a:solidFill>
                </a:ln>
              </c:spPr>
            </c:marker>
          </c:dPt>
          <c:dPt>
            <c:idx val="10"/>
            <c:invertIfNegative val="0"/>
            <c:bubble3D val="0"/>
            <c:marker>
              <c:symbol val="circle"/>
              <c:size val="7"/>
              <c:spPr>
                <a:solidFill>
                  <a:srgbClr val="74B556"/>
                </a:solidFill>
                <a:ln>
                  <a:solidFill>
                    <a:srgbClr val="3D3B39"/>
                  </a:solidFill>
                </a:ln>
              </c:spPr>
            </c:marker>
          </c:dPt>
          <c:dPt>
            <c:idx val="11"/>
            <c:invertIfNegative val="0"/>
            <c:bubble3D val="0"/>
            <c:marker>
              <c:symbol val="circle"/>
              <c:size val="7"/>
              <c:spPr>
                <a:solidFill>
                  <a:srgbClr val="D26A6A"/>
                </a:solidFill>
                <a:ln>
                  <a:solidFill>
                    <a:srgbClr val="3D3B39"/>
                  </a:solidFill>
                </a:ln>
              </c:spPr>
            </c:marker>
          </c:dPt>
          <c:dPt>
            <c:idx val="12"/>
            <c:invertIfNegative val="0"/>
            <c:bubble3D val="0"/>
            <c:marker>
              <c:symbol val="circle"/>
              <c:size val="7"/>
              <c:spPr>
                <a:solidFill>
                  <a:srgbClr val="C2D9A4"/>
                </a:solidFill>
                <a:ln>
                  <a:solidFill>
                    <a:srgbClr val="3D3B39"/>
                  </a:solidFill>
                </a:ln>
              </c:spPr>
            </c:marker>
          </c:dPt>
          <c:dPt>
            <c:idx val="13"/>
            <c:invertIfNegative val="0"/>
            <c:bubble3D val="0"/>
            <c:marker>
              <c:symbol val="circle"/>
              <c:size val="7"/>
              <c:spPr>
                <a:solidFill>
                  <a:srgbClr val="74B556"/>
                </a:solidFill>
                <a:ln>
                  <a:solidFill>
                    <a:srgbClr val="3D3B39"/>
                  </a:solidFill>
                </a:ln>
              </c:spPr>
            </c:marker>
          </c:dPt>
          <c:dPt>
            <c:idx val="14"/>
            <c:invertIfNegative val="0"/>
            <c:bubble3D val="0"/>
            <c:marker>
              <c:symbol val="circle"/>
              <c:size val="7"/>
              <c:spPr>
                <a:solidFill>
                  <a:srgbClr val="B1CF92"/>
                </a:solidFill>
                <a:ln>
                  <a:solidFill>
                    <a:srgbClr val="3D3B39"/>
                  </a:solidFill>
                </a:ln>
              </c:spPr>
            </c:marker>
          </c:dPt>
          <c:dPt>
            <c:idx val="15"/>
            <c:invertIfNegative val="0"/>
            <c:bubble3D val="0"/>
            <c:marker>
              <c:symbol val="circle"/>
              <c:size val="7"/>
              <c:spPr>
                <a:solidFill>
                  <a:srgbClr val="B1CF92"/>
                </a:solidFill>
                <a:ln>
                  <a:solidFill>
                    <a:srgbClr val="3D3B39"/>
                  </a:solidFill>
                </a:ln>
              </c:spPr>
            </c:marker>
          </c:dPt>
          <c:dPt>
            <c:idx val="16"/>
            <c:invertIfNegative val="0"/>
            <c:bubble3D val="0"/>
            <c:marker>
              <c:symbol val="circle"/>
              <c:size val="7"/>
              <c:spPr>
                <a:solidFill>
                  <a:srgbClr val="E29A9A"/>
                </a:solidFill>
                <a:ln>
                  <a:solidFill>
                    <a:srgbClr val="3D3B39"/>
                  </a:solidFill>
                </a:ln>
              </c:spPr>
            </c:marker>
          </c:dPt>
          <c:dPt>
            <c:idx val="17"/>
            <c:invertIfNegative val="0"/>
            <c:bubble3D val="0"/>
            <c:marker>
              <c:symbol val="circle"/>
              <c:size val="7"/>
              <c:spPr>
                <a:solidFill>
                  <a:srgbClr val="EFBEBE"/>
                </a:solidFill>
                <a:ln>
                  <a:solidFill>
                    <a:srgbClr val="3D3B39"/>
                  </a:solidFill>
                </a:ln>
              </c:spPr>
            </c:marker>
          </c:dPt>
          <c:dPt>
            <c:idx val="18"/>
            <c:invertIfNegative val="0"/>
            <c:bubble3D val="0"/>
            <c:marker>
              <c:symbol val="circle"/>
              <c:size val="7"/>
              <c:spPr>
                <a:solidFill>
                  <a:srgbClr val="74B556"/>
                </a:solidFill>
                <a:ln>
                  <a:solidFill>
                    <a:srgbClr val="3D3B39"/>
                  </a:solidFill>
                </a:ln>
              </c:spPr>
            </c:marker>
          </c:dPt>
          <c:dPt>
            <c:idx val="19"/>
            <c:invertIfNegative val="0"/>
            <c:bubble3D val="0"/>
            <c:marker>
              <c:symbol val="circle"/>
              <c:size val="7"/>
              <c:spPr>
                <a:solidFill>
                  <a:srgbClr val="C2D9A4"/>
                </a:solidFill>
                <a:ln>
                  <a:solidFill>
                    <a:srgbClr val="3D3B39"/>
                  </a:solidFill>
                </a:ln>
              </c:spPr>
            </c:marker>
          </c:dPt>
          <c:dLbls>
            <c:spPr>
              <a:noFill/>
              <a:ln>
                <a:noFill/>
              </a:ln>
            </c:spPr>
            <c:showLegendKey val="0"/>
            <c:showVal val="0"/>
            <c:showCatName val="0"/>
            <c:showSerName val="0"/>
            <c:showPercent val="0"/>
            <c:showBubbleSize val="0"/>
            <c:extLst>
              <c:ext xmlns:c15="http://schemas.microsoft.com/office/drawing/2012/chart" uri="{CE6537A1-D6FC-4f65-9D91-7224C49458BB}">
                <c15:showDataLabelsRange val="1"/>
              </c:ext>
              <c:ext xmlns:c15="http://schemas.microsoft.com/office/drawing/2012/chart" uri="{02D57815-91ED-43cb-92C2-25804820EDAC}">
                <c15:datalabelsRange>
                  <c15:f>Workspace!$B$2:$B$21</c15:f>
                </c15:datalabelsRange>
              </c:ext>
            </c:extLst>
          </c:dLbls>
          <c:xVal>
            <c:numRef>
              <c:f>Workspace!$L$2:$L$21</c:f>
            </c:numRef>
          </c:xVal>
          <c:yVal>
            <c:numRef>
              <c:f>Workspace!$M$2:$M$21</c:f>
            </c:numRef>
          </c:yVal>
          <c:smooth val="0"/>
        </c:ser>
        <c:axId val="111111111"/>
        <c:axId val="222222222"/>
      </c:scatterChart>
      <c:valAx>
        <c:axId val="111111111"/>
        <c:scaling>
          <c:orientation val="minMax"/>
          <c:max val="10"/>
          <c:min val="-10"/>
        </c:scaling>
        <c:delete val="0"/>
        <c:axPos val="b"/>
        <c:majorGridlines/>
        <c:title>
          <c:tx>
            <c:rich>
              <a:bodyPr/>
              <a:p>
                <a:r>
                  <a:t>Impact on the business →</a:t>
                </a:r>
              </a:p>
            </c:rich>
          </c:tx>
          <c:overlay val="0"/>
        </c:title>
        <c:numFmt formatCode="General" sourceLinked="1"/>
        <c:majorTickMark val="out"/>
        <c:minorTickMark val="none"/>
        <c:tickLblPos val="nextTo"/>
        <c:crossAx val="222222222"/>
        <c:crosses val="autoZero"/>
        <c:crossBetween val="midCat"/>
        <c:majorUnit val="1"/>
      </c:valAx>
      <c:valAx>
        <c:axId val="222222222"/>
        <c:scaling>
          <c:orientation val="minMax"/>
          <c:max val="10"/>
          <c:min val="-10"/>
        </c:scaling>
        <c:delete val="0"/>
        <c:axPos val="l"/>
        <c:majorGridlines/>
        <c:title>
          <c:tx>
            <c:rich>
              <a:bodyPr rot="-5400000" vert="horz"/>
              <a:p>
                <a:r>
                  <a:t>Influence in the community →</a:t>
                </a:r>
              </a:p>
            </c:rich>
          </c:tx>
          <c:overlay val="0"/>
        </c:title>
        <c:numFmt formatCode="General" sourceLinked="1"/>
        <c:majorTickMark val="out"/>
        <c:minorTickMark val="none"/>
        <c:tickLblPos val="nextTo"/>
        <c:crossAx val="111111111"/>
        <c:crosses val="autoZero"/>
        <c:crossBetween val="midCat"/>
        <c:majorUnit val="2.5"/>
      </c:valAx>
    </c:plotArea>
    <c:plotVisOnly val="1"/>
    <c:dispBlanksAs val="gap"/>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1</xdr:col>
      <xdr:colOff>0</xdr:colOff>
      <xdr:row>13</xdr:row>
      <xdr:rowOff>0</xdr:rowOff>
    </xdr:from>
    <xdr:to>
      <xdr:col>6</xdr:col>
      <xdr:colOff>0</xdr:colOff>
      <xdr:row>40</xdr:row>
      <xdr:rowOff>0</xdr:rowOff>
    </xdr:to>
    <xdr:graphicFrame macro="">
      <xdr:nvGraphicFramePr>
        <xdr:cNvPr id="2" name="Stakeholder Map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62"/>
  <sheetFormatPr defaultRowHeight="16" outlineLevelRow="0" outlineLevelCol="0" x14ac:dyDescent="55" customHeight="1"/>
  <cols>
    <col min="1" max="1" width="4" customWidth="1"/>
    <col min="2" max="8" width="24" customWidth="1"/>
  </cols>
  <sheetData>
    <row r="1" spans="1:1" x14ac:dyDescent="0.25">
      <c r="A1" s="1" t="s">
        <v>0</v>
      </c>
    </row>
    <row r="3" spans="1:1" x14ac:dyDescent="0.25">
      <c r="A3" s="2" t="s">
        <v>1</v>
      </c>
    </row>
    <row r="4" spans="2:7" x14ac:dyDescent="0.25">
      <c r="B4" s="3" t="s">
        <v>2</v>
      </c>
      <c r="C4" s="4" t="s">
        <v>3</v>
      </c>
      <c r="D4" s="5" t="s">
        <v>4</v>
      </c>
      <c r="E4" s="6" t="s">
        <v>5</v>
      </c>
      <c r="F4" s="7" t="s">
        <v>6</v>
      </c>
      <c r="G4" s="8" t="s">
        <v>7</v>
      </c>
    </row>
    <row r="5" spans="2:7" x14ac:dyDescent="0.25">
      <c r="B5" s="9" t="s">
        <v>8</v>
      </c>
      <c r="C5" s="9" t="s">
        <v>9</v>
      </c>
      <c r="D5" s="9" t="s">
        <v>10</v>
      </c>
      <c r="E5" s="9" t="s">
        <v>11</v>
      </c>
      <c r="F5" s="9" t="s">
        <v>12</v>
      </c>
      <c r="G5" s="9" t="s">
        <v>13</v>
      </c>
    </row>
    <row r="6" spans="2:7" x14ac:dyDescent="0.25">
      <c r="B6" s="9" t="s">
        <v>14</v>
      </c>
      <c r="C6" s="9" t="s">
        <v>15</v>
      </c>
      <c r="D6" s="9" t="s">
        <v>16</v>
      </c>
      <c r="E6" s="9" t="s">
        <v>17</v>
      </c>
      <c r="F6" s="9" t="s">
        <v>18</v>
      </c>
      <c r="G6" s="9" t="s">
        <v>19</v>
      </c>
    </row>
    <row r="7" spans="2:7" x14ac:dyDescent="0.25">
      <c r="B7" s="9" t="s">
        <v>20</v>
      </c>
      <c r="C7" s="9" t="s">
        <v>21</v>
      </c>
      <c r="D7" s="9" t="s">
        <v>22</v>
      </c>
      <c r="E7" s="9" t="s">
        <v>23</v>
      </c>
      <c r="F7" s="9" t="s">
        <v>24</v>
      </c>
      <c r="G7" s="9" t="s">
        <v>25</v>
      </c>
    </row>
    <row r="8" spans="2:7" x14ac:dyDescent="0.25">
      <c r="B8" s="9" t="s">
        <v>26</v>
      </c>
      <c r="C8" s="9" t="s">
        <v>27</v>
      </c>
      <c r="D8" s="9" t="s">
        <v>28</v>
      </c>
      <c r="E8" s="9" t="s">
        <v>29</v>
      </c>
      <c r="F8" s="9" t="s">
        <v>30</v>
      </c>
      <c r="G8" s="9" t="s">
        <v>31</v>
      </c>
    </row>
    <row r="9" spans="2:5" x14ac:dyDescent="0.25">
      <c r="B9" s="9" t="s">
        <v>32</v>
      </c>
      <c r="C9" s="9" t="s">
        <v>33</v>
      </c>
      <c r="D9" s="9" t="s">
        <v>34</v>
      </c>
      <c r="E9" s="9" t="s">
        <v>35</v>
      </c>
    </row>
    <row r="10" spans="2:5" x14ac:dyDescent="0.25">
      <c r="B10" s="9" t="s">
        <v>36</v>
      </c>
      <c r="C10" s="9" t="s">
        <v>37</v>
      </c>
      <c r="D10" s="9" t="s">
        <v>38</v>
      </c>
      <c r="E10" s="9" t="s">
        <v>39</v>
      </c>
    </row>
    <row r="11" spans="2:5" x14ac:dyDescent="0.25">
      <c r="B11" s="9" t="s">
        <v>40</v>
      </c>
      <c r="C11" s="9" t="s">
        <v>41</v>
      </c>
      <c r="D11" s="9" t="s">
        <v>42</v>
      </c>
      <c r="E11" s="9" t="s">
        <v>43</v>
      </c>
    </row>
    <row r="12" spans="2:5" x14ac:dyDescent="0.25">
      <c r="B12" s="9" t="s">
        <v>44</v>
      </c>
      <c r="C12" s="9" t="s">
        <v>45</v>
      </c>
      <c r="D12" s="9" t="s">
        <v>46</v>
      </c>
      <c r="E12" s="9" t="s">
        <v>47</v>
      </c>
    </row>
    <row r="13" spans="2:4" x14ac:dyDescent="0.25">
      <c r="B13" s="9" t="s">
        <v>48</v>
      </c>
      <c r="C13" s="9" t="s">
        <v>49</v>
      </c>
      <c r="D13" s="9" t="s">
        <v>50</v>
      </c>
    </row>
    <row r="14" spans="2:4" x14ac:dyDescent="0.25">
      <c r="B14" s="9" t="s">
        <v>51</v>
      </c>
      <c r="C14" s="9" t="s">
        <v>52</v>
      </c>
      <c r="D14" s="9" t="s">
        <v>53</v>
      </c>
    </row>
    <row r="15" spans="2:3" x14ac:dyDescent="0.25">
      <c r="B15" s="9" t="s">
        <v>54</v>
      </c>
      <c r="C15" s="9" t="s">
        <v>55</v>
      </c>
    </row>
    <row r="16" spans="2:3" x14ac:dyDescent="0.25">
      <c r="B16" s="9" t="s">
        <v>56</v>
      </c>
      <c r="C16" s="9" t="s">
        <v>57</v>
      </c>
    </row>
    <row r="17" spans="2:3" x14ac:dyDescent="0.25">
      <c r="B17" s="9" t="s">
        <v>58</v>
      </c>
      <c r="C17" s="9" t="s">
        <v>59</v>
      </c>
    </row>
    <row r="18" spans="2:3" x14ac:dyDescent="0.25">
      <c r="B18" s="9" t="s">
        <v>60</v>
      </c>
      <c r="C18" s="9" t="s">
        <v>61</v>
      </c>
    </row>
    <row r="19" spans="2:3" x14ac:dyDescent="0.25">
      <c r="B19" s="9" t="s">
        <v>62</v>
      </c>
      <c r="C19" s="9" t="s">
        <v>63</v>
      </c>
    </row>
    <row r="20" spans="2:3" x14ac:dyDescent="0.25">
      <c r="B20" s="9" t="s">
        <v>64</v>
      </c>
      <c r="C20" s="9" t="s">
        <v>65</v>
      </c>
    </row>
    <row r="22" ht="34" customHeight="1" spans="1:8" x14ac:dyDescent="0.25">
      <c r="A22" s="10" t="s">
        <v>66</v>
      </c>
      <c r="B22" s="10"/>
      <c r="C22" s="10"/>
      <c r="D22" s="10"/>
      <c r="E22" s="10"/>
      <c r="F22" s="10"/>
      <c r="G22" s="10"/>
      <c r="H22" s="10"/>
    </row>
    <row r="24" spans="1:1" x14ac:dyDescent="0.25">
      <c r="A24" s="2" t="s">
        <v>67</v>
      </c>
    </row>
    <row r="25" spans="2:7" x14ac:dyDescent="0.25">
      <c r="B25" s="11" t="s">
        <v>68</v>
      </c>
      <c r="C25" s="11"/>
      <c r="D25" s="11" t="s">
        <v>69</v>
      </c>
      <c r="E25" s="11"/>
      <c r="F25" s="11" t="s">
        <v>70</v>
      </c>
      <c r="G25" s="11"/>
    </row>
    <row r="26" spans="2:7" x14ac:dyDescent="0.25">
      <c r="B26" s="12" t="s">
        <v>71</v>
      </c>
      <c r="C26" s="12"/>
      <c r="D26" s="12" t="s">
        <v>72</v>
      </c>
      <c r="E26" s="12"/>
      <c r="F26" s="12" t="s">
        <v>73</v>
      </c>
      <c r="G26" s="12"/>
    </row>
    <row r="27" spans="2:7" x14ac:dyDescent="0.25">
      <c r="B27" s="12" t="s">
        <v>74</v>
      </c>
      <c r="C27" s="12"/>
      <c r="D27" s="12" t="s">
        <v>75</v>
      </c>
      <c r="E27" s="12"/>
      <c r="F27" s="12" t="s">
        <v>76</v>
      </c>
      <c r="G27" s="12"/>
    </row>
    <row r="28" spans="2:7" x14ac:dyDescent="0.25">
      <c r="B28" s="12" t="s">
        <v>77</v>
      </c>
      <c r="C28" s="12"/>
      <c r="D28" s="12" t="s">
        <v>78</v>
      </c>
      <c r="E28" s="12"/>
      <c r="F28" s="12" t="s">
        <v>79</v>
      </c>
      <c r="G28" s="12"/>
    </row>
    <row r="29" spans="2:7" x14ac:dyDescent="0.25">
      <c r="B29" s="12" t="s">
        <v>80</v>
      </c>
      <c r="C29" s="12"/>
      <c r="D29" s="12" t="s">
        <v>81</v>
      </c>
      <c r="E29" s="12"/>
      <c r="F29" s="12" t="s">
        <v>82</v>
      </c>
      <c r="G29" s="12"/>
    </row>
    <row r="31" spans="1:1" x14ac:dyDescent="0.25">
      <c r="A31" s="2" t="s">
        <v>83</v>
      </c>
    </row>
    <row r="32" spans="1:8" x14ac:dyDescent="0.25">
      <c r="A32" s="13" t="s">
        <v>84</v>
      </c>
      <c r="B32" s="13"/>
      <c r="C32" s="13"/>
      <c r="D32" s="13"/>
      <c r="E32" s="13"/>
      <c r="F32" s="13"/>
      <c r="G32" s="13"/>
      <c r="H32" s="13"/>
    </row>
    <row r="33" spans="1:8" x14ac:dyDescent="0.25">
      <c r="A33" s="13" t="s">
        <v>85</v>
      </c>
      <c r="B33" s="13"/>
      <c r="C33" s="13"/>
      <c r="D33" s="13"/>
      <c r="E33" s="13"/>
      <c r="F33" s="13"/>
      <c r="G33" s="13"/>
      <c r="H33" s="13"/>
    </row>
    <row r="35" spans="2:7" x14ac:dyDescent="0.25">
      <c r="B35" s="14" t="s">
        <v>86</v>
      </c>
      <c r="C35" s="14"/>
      <c r="D35" s="15" t="s">
        <v>87</v>
      </c>
      <c r="E35" s="15"/>
      <c r="F35" s="16" t="s">
        <v>88</v>
      </c>
      <c r="G35" s="16"/>
    </row>
    <row r="36" spans="2:7" x14ac:dyDescent="0.25">
      <c r="B36" s="12" t="s">
        <v>89</v>
      </c>
      <c r="C36" s="12"/>
      <c r="D36" s="12" t="s">
        <v>90</v>
      </c>
      <c r="E36" s="12"/>
      <c r="F36" s="12" t="s">
        <v>91</v>
      </c>
      <c r="G36" s="12"/>
    </row>
    <row r="37" spans="2:7" x14ac:dyDescent="0.25">
      <c r="B37" s="12" t="s">
        <v>92</v>
      </c>
      <c r="C37" s="12"/>
      <c r="D37" s="12" t="s">
        <v>93</v>
      </c>
      <c r="E37" s="12"/>
      <c r="F37" s="12" t="s">
        <v>94</v>
      </c>
      <c r="G37" s="12"/>
    </row>
    <row r="38" spans="2:7" x14ac:dyDescent="0.25">
      <c r="B38" s="12" t="s">
        <v>95</v>
      </c>
      <c r="C38" s="12"/>
      <c r="D38" s="12" t="s">
        <v>96</v>
      </c>
      <c r="E38" s="12"/>
      <c r="F38" s="12" t="s">
        <v>97</v>
      </c>
      <c r="G38" s="12"/>
    </row>
    <row r="39" spans="2:7" x14ac:dyDescent="0.25">
      <c r="B39" s="12" t="s">
        <v>98</v>
      </c>
      <c r="C39" s="12"/>
      <c r="D39" s="12" t="s">
        <v>99</v>
      </c>
      <c r="E39" s="12"/>
      <c r="F39" s="12" t="s">
        <v>100</v>
      </c>
      <c r="G39" s="12"/>
    </row>
    <row r="40" spans="2:7" x14ac:dyDescent="0.25">
      <c r="B40" s="12" t="s">
        <v>101</v>
      </c>
      <c r="C40" s="12"/>
      <c r="D40" s="12" t="s">
        <v>102</v>
      </c>
      <c r="E40" s="12"/>
      <c r="F40" s="12" t="s">
        <v>103</v>
      </c>
      <c r="G40" s="12"/>
    </row>
    <row r="41" spans="6:7" x14ac:dyDescent="0.25">
      <c r="F41" s="12" t="s">
        <v>101</v>
      </c>
      <c r="G41" s="12"/>
    </row>
    <row r="43" spans="1:1" x14ac:dyDescent="0.25">
      <c r="A43" s="2" t="s">
        <v>104</v>
      </c>
    </row>
    <row r="44" spans="2:8" x14ac:dyDescent="0.25">
      <c r="B44" s="17" t="s">
        <v>105</v>
      </c>
      <c r="C44" s="17" t="s">
        <v>106</v>
      </c>
      <c r="D44" s="17" t="s">
        <v>107</v>
      </c>
      <c r="E44" s="17"/>
      <c r="F44" s="17"/>
      <c r="G44" s="17"/>
      <c r="H44" s="17"/>
    </row>
    <row r="45" spans="2:8" x14ac:dyDescent="0.25">
      <c r="B45" s="18" t="s">
        <v>108</v>
      </c>
      <c r="C45" s="9" t="s">
        <v>109</v>
      </c>
      <c r="D45" s="12" t="s">
        <v>110</v>
      </c>
      <c r="E45" s="12"/>
      <c r="F45" s="12"/>
      <c r="G45" s="12"/>
      <c r="H45" s="12"/>
    </row>
    <row r="46" spans="2:8" x14ac:dyDescent="0.25">
      <c r="B46" s="19" t="s">
        <v>111</v>
      </c>
      <c r="C46" s="9" t="s">
        <v>109</v>
      </c>
      <c r="D46" s="12" t="s">
        <v>112</v>
      </c>
      <c r="E46" s="12"/>
      <c r="F46" s="12"/>
      <c r="G46" s="12"/>
      <c r="H46" s="12"/>
    </row>
    <row r="47" spans="2:8" x14ac:dyDescent="0.25">
      <c r="B47" s="20" t="s">
        <v>113</v>
      </c>
      <c r="C47" s="9" t="s">
        <v>109</v>
      </c>
      <c r="D47" s="12" t="s">
        <v>114</v>
      </c>
      <c r="E47" s="12"/>
      <c r="F47" s="12"/>
      <c r="G47" s="12"/>
      <c r="H47" s="12"/>
    </row>
    <row r="48" spans="2:8" x14ac:dyDescent="0.25">
      <c r="B48" s="21" t="s">
        <v>115</v>
      </c>
      <c r="C48" s="9" t="s">
        <v>109</v>
      </c>
      <c r="D48" s="12" t="s">
        <v>116</v>
      </c>
      <c r="E48" s="12"/>
      <c r="F48" s="12"/>
      <c r="G48" s="12"/>
      <c r="H48" s="12"/>
    </row>
    <row r="49" spans="2:8" x14ac:dyDescent="0.25">
      <c r="B49" s="22" t="s">
        <v>117</v>
      </c>
      <c r="C49" s="9" t="s">
        <v>109</v>
      </c>
      <c r="D49" s="12" t="s">
        <v>118</v>
      </c>
      <c r="E49" s="12"/>
      <c r="F49" s="12"/>
      <c r="G49" s="12"/>
      <c r="H49" s="12"/>
    </row>
    <row r="50" spans="2:8" x14ac:dyDescent="0.25">
      <c r="B50" s="23" t="s">
        <v>119</v>
      </c>
      <c r="C50" s="9" t="s">
        <v>120</v>
      </c>
      <c r="D50" s="12" t="s">
        <v>121</v>
      </c>
      <c r="E50" s="12"/>
      <c r="F50" s="12"/>
      <c r="G50" s="12"/>
      <c r="H50" s="12"/>
    </row>
    <row r="51" spans="2:8" x14ac:dyDescent="0.25">
      <c r="B51" s="24" t="s">
        <v>122</v>
      </c>
      <c r="C51" s="9" t="s">
        <v>120</v>
      </c>
      <c r="D51" s="12" t="s">
        <v>123</v>
      </c>
      <c r="E51" s="12"/>
      <c r="F51" s="12"/>
      <c r="G51" s="12"/>
      <c r="H51" s="12"/>
    </row>
    <row r="52" spans="2:8" x14ac:dyDescent="0.25">
      <c r="B52" s="25" t="s">
        <v>124</v>
      </c>
      <c r="C52" s="9" t="s">
        <v>120</v>
      </c>
      <c r="D52" s="12" t="s">
        <v>125</v>
      </c>
      <c r="E52" s="12"/>
      <c r="F52" s="12"/>
      <c r="G52" s="12"/>
      <c r="H52" s="12"/>
    </row>
    <row r="53" spans="2:8" x14ac:dyDescent="0.25">
      <c r="B53" s="26" t="s">
        <v>126</v>
      </c>
      <c r="C53" s="9" t="s">
        <v>120</v>
      </c>
      <c r="D53" s="12" t="s">
        <v>127</v>
      </c>
      <c r="E53" s="12"/>
      <c r="F53" s="12"/>
      <c r="G53" s="12"/>
      <c r="H53" s="12"/>
    </row>
    <row r="54" spans="2:8" x14ac:dyDescent="0.25">
      <c r="B54" s="27" t="s">
        <v>128</v>
      </c>
      <c r="C54" s="9" t="s">
        <v>129</v>
      </c>
      <c r="D54" s="12" t="s">
        <v>130</v>
      </c>
      <c r="E54" s="12"/>
      <c r="F54" s="12"/>
      <c r="G54" s="12"/>
      <c r="H54" s="12"/>
    </row>
    <row r="55" spans="2:8" x14ac:dyDescent="0.25">
      <c r="B55" s="28" t="s">
        <v>131</v>
      </c>
      <c r="C55" s="9" t="s">
        <v>129</v>
      </c>
      <c r="D55" s="12" t="s">
        <v>132</v>
      </c>
      <c r="E55" s="12"/>
      <c r="F55" s="12"/>
      <c r="G55" s="12"/>
      <c r="H55" s="12"/>
    </row>
    <row r="56" spans="2:8" x14ac:dyDescent="0.25">
      <c r="B56" s="29" t="s">
        <v>133</v>
      </c>
      <c r="C56" s="9" t="s">
        <v>129</v>
      </c>
      <c r="D56" s="12" t="s">
        <v>134</v>
      </c>
      <c r="E56" s="12"/>
      <c r="F56" s="12"/>
      <c r="G56" s="12"/>
      <c r="H56" s="12"/>
    </row>
    <row r="57" spans="2:8" x14ac:dyDescent="0.25">
      <c r="B57" s="30" t="s">
        <v>135</v>
      </c>
      <c r="C57" s="9" t="s">
        <v>129</v>
      </c>
      <c r="D57" s="12" t="s">
        <v>136</v>
      </c>
      <c r="E57" s="12"/>
      <c r="F57" s="12"/>
      <c r="G57" s="12"/>
      <c r="H57" s="12"/>
    </row>
    <row r="58" spans="2:8" x14ac:dyDescent="0.25">
      <c r="B58" s="31" t="s">
        <v>137</v>
      </c>
      <c r="C58" s="9" t="s">
        <v>129</v>
      </c>
      <c r="D58" s="12" t="s">
        <v>138</v>
      </c>
      <c r="E58" s="12"/>
      <c r="F58" s="12"/>
      <c r="G58" s="12"/>
      <c r="H58" s="12"/>
    </row>
    <row r="60" spans="1:1" x14ac:dyDescent="0.25">
      <c r="A60" s="2" t="s">
        <v>139</v>
      </c>
    </row>
    <row r="61" ht="46" customHeight="1" spans="1:8" x14ac:dyDescent="0.25">
      <c r="A61" s="32" t="s">
        <v>140</v>
      </c>
      <c r="B61" s="32"/>
      <c r="C61" s="32"/>
      <c r="D61" s="32"/>
      <c r="E61" s="32"/>
      <c r="F61" s="32"/>
      <c r="G61" s="32"/>
      <c r="H61" s="32"/>
    </row>
    <row r="62" ht="30" customHeight="1" spans="1:8" x14ac:dyDescent="0.25">
      <c r="A62" s="33" t="s">
        <v>141</v>
      </c>
      <c r="B62" s="33"/>
      <c r="C62" s="33"/>
      <c r="D62" s="33"/>
      <c r="E62" s="33"/>
      <c r="F62" s="33"/>
      <c r="G62" s="33"/>
      <c r="H62" s="33"/>
    </row>
  </sheetData>
  <mergeCells count="54">
    <mergeCell ref="A22:H22"/>
    <mergeCell ref="B25:C25"/>
    <mergeCell ref="D25:E25"/>
    <mergeCell ref="F25:G25"/>
    <mergeCell ref="B26:C26"/>
    <mergeCell ref="D26:E26"/>
    <mergeCell ref="F26:G26"/>
    <mergeCell ref="B27:C27"/>
    <mergeCell ref="D27:E27"/>
    <mergeCell ref="F27:G27"/>
    <mergeCell ref="B28:C28"/>
    <mergeCell ref="D28:E28"/>
    <mergeCell ref="F28:G28"/>
    <mergeCell ref="B29:C29"/>
    <mergeCell ref="D29:E29"/>
    <mergeCell ref="F29:G29"/>
    <mergeCell ref="A32:H32"/>
    <mergeCell ref="A33:H33"/>
    <mergeCell ref="B35:C35"/>
    <mergeCell ref="D35:E35"/>
    <mergeCell ref="F35:G35"/>
    <mergeCell ref="B36:C36"/>
    <mergeCell ref="D36:E36"/>
    <mergeCell ref="F36:G36"/>
    <mergeCell ref="B37:C37"/>
    <mergeCell ref="D37:E37"/>
    <mergeCell ref="F37:G37"/>
    <mergeCell ref="B38:C38"/>
    <mergeCell ref="D38:E38"/>
    <mergeCell ref="F38:G38"/>
    <mergeCell ref="B39:C39"/>
    <mergeCell ref="D39:E39"/>
    <mergeCell ref="F39:G39"/>
    <mergeCell ref="B40:C40"/>
    <mergeCell ref="D40:E40"/>
    <mergeCell ref="F40:G40"/>
    <mergeCell ref="F41:G41"/>
    <mergeCell ref="D44:H44"/>
    <mergeCell ref="D45:H45"/>
    <mergeCell ref="D46:H46"/>
    <mergeCell ref="D47:H47"/>
    <mergeCell ref="D48:H48"/>
    <mergeCell ref="D49:H49"/>
    <mergeCell ref="D50:H50"/>
    <mergeCell ref="D51:H51"/>
    <mergeCell ref="D52:H52"/>
    <mergeCell ref="D53:H53"/>
    <mergeCell ref="D54:H54"/>
    <mergeCell ref="D55:H55"/>
    <mergeCell ref="D56:H56"/>
    <mergeCell ref="D57:H57"/>
    <mergeCell ref="D58:H58"/>
    <mergeCell ref="A61:H61"/>
    <mergeCell ref="A62:H6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3"/>
  <sheetViews>
    <sheetView workbookViewId="0">
      <pane xSplit="2" ySplit="3" topLeftCell="C4" activePane="bottomRight" state="frozen"/>
      <selection pane="bottomRight"/>
    </sheetView>
  </sheetViews>
  <sheetFormatPr defaultRowHeight="15" outlineLevelRow="0" outlineLevelCol="0" x14ac:dyDescent="55"/>
  <cols>
    <col min="1" max="1" width="4" customWidth="1"/>
    <col min="2" max="2" width="28" customWidth="1"/>
    <col min="3" max="12" width="6" customWidth="1"/>
    <col min="13" max="14" width="12" customWidth="1"/>
  </cols>
  <sheetData>
    <row r="1" spans="1:14" x14ac:dyDescent="0.25">
      <c r="A1" s="34" t="s">
        <v>142</v>
      </c>
      <c r="B1" s="34" t="s">
        <v>143</v>
      </c>
      <c r="C1" s="34" t="s">
        <v>144</v>
      </c>
      <c r="D1" s="34"/>
      <c r="E1" s="34" t="s">
        <v>145</v>
      </c>
      <c r="F1" s="34"/>
      <c r="G1" s="34" t="s">
        <v>146</v>
      </c>
      <c r="H1" s="34"/>
      <c r="I1" s="34" t="s">
        <v>147</v>
      </c>
      <c r="J1" s="34"/>
      <c r="K1" s="34" t="s">
        <v>148</v>
      </c>
      <c r="L1" s="34"/>
      <c r="M1" s="34" t="s">
        <v>149</v>
      </c>
      <c r="N1" s="34" t="s">
        <v>150</v>
      </c>
    </row>
    <row r="2" spans="2:14" x14ac:dyDescent="0.25">
      <c r="B2" s="35" t="s">
        <v>151</v>
      </c>
      <c r="C2" s="36">
        <v>1.5</v>
      </c>
      <c r="D2" s="36"/>
      <c r="E2" s="36">
        <v>1.2</v>
      </c>
      <c r="F2" s="36"/>
      <c r="G2" s="36">
        <v>1</v>
      </c>
      <c r="H2" s="36"/>
      <c r="I2" s="36">
        <v>0.8</v>
      </c>
      <c r="J2" s="36"/>
      <c r="K2" s="36">
        <v>0.7</v>
      </c>
      <c r="L2" s="36"/>
      <c r="M2" s="35" t="s">
        <v>152</v>
      </c>
      <c r="N2">
        <f>=C2+E2+G2+I2+K2</f>
      </c>
    </row>
    <row r="3" spans="1:12" x14ac:dyDescent="0.25">
      <c r="A3" s="34" t="s">
        <v>142</v>
      </c>
      <c r="B3" s="34" t="s">
        <v>153</v>
      </c>
      <c r="C3" s="34" t="s">
        <v>154</v>
      </c>
      <c r="D3" s="34" t="s">
        <v>155</v>
      </c>
      <c r="E3" s="34" t="s">
        <v>154</v>
      </c>
      <c r="F3" s="34" t="s">
        <v>155</v>
      </c>
      <c r="G3" s="34" t="s">
        <v>154</v>
      </c>
      <c r="H3" s="34" t="s">
        <v>155</v>
      </c>
      <c r="I3" s="34" t="s">
        <v>154</v>
      </c>
      <c r="J3" s="34" t="s">
        <v>155</v>
      </c>
      <c r="K3" s="34" t="s">
        <v>154</v>
      </c>
      <c r="L3" s="34" t="s">
        <v>155</v>
      </c>
    </row>
    <row r="4" spans="1:14" x14ac:dyDescent="0.25">
      <c r="A4">
        <v>1</v>
      </c>
      <c r="B4">
        <f>=IF(Workspace!B2="","",Workspace!B2)</f>
      </c>
      <c r="C4">
        <v>3</v>
      </c>
      <c r="D4">
        <v>8</v>
      </c>
      <c r="E4">
        <v>4</v>
      </c>
      <c r="F4">
        <v>9</v>
      </c>
      <c r="G4">
        <v>2</v>
      </c>
      <c r="H4">
        <v>8</v>
      </c>
      <c r="I4">
        <v>3</v>
      </c>
      <c r="J4">
        <v>8</v>
      </c>
      <c r="K4">
        <v>2</v>
      </c>
      <c r="L4">
        <v>7</v>
      </c>
      <c r="M4">
        <f>=IF(Workspace!B2="","",(C4*C$2+E4*E$2+G4*G$2+I4*I$2+K4*K$2)/(C2+E2+G2+I2+K2))</f>
      </c>
      <c r="N4">
        <f>=IF(Workspace!B2="","",(D4*C$2+F4*E$2+H4*G$2+J4*I$2+L4*K$2)/(C2+E2+G2+I2+K2))</f>
      </c>
    </row>
    <row r="5" spans="1:14" x14ac:dyDescent="0.25">
      <c r="A5">
        <v>2</v>
      </c>
      <c r="B5">
        <f>=IF(Workspace!B3="","",Workspace!B3)</f>
      </c>
      <c r="C5">
        <v>7</v>
      </c>
      <c r="D5">
        <v>4</v>
      </c>
      <c r="E5">
        <v>8</v>
      </c>
      <c r="F5">
        <v>5</v>
      </c>
      <c r="G5">
        <v>7</v>
      </c>
      <c r="H5">
        <v>4</v>
      </c>
      <c r="I5">
        <v>6</v>
      </c>
      <c r="J5">
        <v>4</v>
      </c>
      <c r="K5">
        <v>6</v>
      </c>
      <c r="L5">
        <v>3</v>
      </c>
      <c r="M5">
        <f>=IF(Workspace!B3="","",(C5*C$2+E5*E$2+G5*G$2+I5*I$2+K5*K$2)/(C2+E2+G2+I2+K2))</f>
      </c>
      <c r="N5">
        <f>=IF(Workspace!B3="","",(D5*C$2+F5*E$2+H5*G$2+J5*I$2+L5*K$2)/(C2+E2+G2+I2+K2))</f>
      </c>
    </row>
    <row r="6" spans="1:14" x14ac:dyDescent="0.25">
      <c r="A6">
        <v>3</v>
      </c>
      <c r="B6">
        <f>=IF(Workspace!B4="","",Workspace!B4)</f>
      </c>
      <c r="C6">
        <v>-2</v>
      </c>
      <c r="D6">
        <v>7</v>
      </c>
      <c r="E6">
        <v>-1</v>
      </c>
      <c r="F6">
        <v>8</v>
      </c>
      <c r="G6">
        <v>-3</v>
      </c>
      <c r="H6">
        <v>7</v>
      </c>
      <c r="I6">
        <v>-2</v>
      </c>
      <c r="J6">
        <v>8</v>
      </c>
      <c r="K6">
        <v>-2</v>
      </c>
      <c r="L6">
        <v>7</v>
      </c>
      <c r="M6">
        <f>=IF(Workspace!B4="","",(C6*C$2+E6*E$2+G6*G$2+I6*I$2+K6*K$2)/(C2+E2+G2+I2+K2))</f>
      </c>
      <c r="N6">
        <f>=IF(Workspace!B4="","",(D6*C$2+F6*E$2+H6*G$2+J6*I$2+L6*K$2)/(C2+E2+G2+I2+K2))</f>
      </c>
    </row>
    <row r="7" spans="1:14" x14ac:dyDescent="0.25">
      <c r="A7">
        <v>4</v>
      </c>
      <c r="B7">
        <f>=IF(Workspace!B5="","",Workspace!B5)</f>
      </c>
      <c r="C7">
        <v>1</v>
      </c>
      <c r="D7">
        <v>6</v>
      </c>
      <c r="E7">
        <v>2</v>
      </c>
      <c r="F7">
        <v>7</v>
      </c>
      <c r="G7">
        <v>1</v>
      </c>
      <c r="H7">
        <v>6</v>
      </c>
      <c r="I7">
        <v>0</v>
      </c>
      <c r="J7">
        <v>6</v>
      </c>
      <c r="K7">
        <v>-1</v>
      </c>
      <c r="L7">
        <v>6</v>
      </c>
      <c r="M7">
        <f>=IF(Workspace!B5="","",(C7*C$2+E7*E$2+G7*G$2+I7*I$2+K7*K$2)/(C2+E2+G2+I2+K2))</f>
      </c>
      <c r="N7">
        <f>=IF(Workspace!B5="","",(D7*C$2+F7*E$2+H7*G$2+J7*I$2+L7*K$2)/(C2+E2+G2+I2+K2))</f>
      </c>
    </row>
    <row r="8" spans="1:14" x14ac:dyDescent="0.25">
      <c r="A8">
        <v>5</v>
      </c>
      <c r="B8">
        <f>=IF(Workspace!B6="","",Workspace!B6)</f>
      </c>
      <c r="C8">
        <v>7</v>
      </c>
      <c r="D8">
        <v>9</v>
      </c>
      <c r="E8">
        <v>8</v>
      </c>
      <c r="F8">
        <v>9</v>
      </c>
      <c r="G8">
        <v>6</v>
      </c>
      <c r="H8">
        <v>8</v>
      </c>
      <c r="I8">
        <v>7</v>
      </c>
      <c r="J8">
        <v>9</v>
      </c>
      <c r="K8">
        <v>7</v>
      </c>
      <c r="L8">
        <v>9</v>
      </c>
      <c r="M8">
        <f>=IF(Workspace!B6="","",(C8*C$2+E8*E$2+G8*G$2+I8*I$2+K8*K$2)/(C2+E2+G2+I2+K2))</f>
      </c>
      <c r="N8">
        <f>=IF(Workspace!B6="","",(D8*C$2+F8*E$2+H8*G$2+J8*I$2+L8*K$2)/(C2+E2+G2+I2+K2))</f>
      </c>
    </row>
    <row r="9" spans="1:14" x14ac:dyDescent="0.25">
      <c r="A9">
        <v>6</v>
      </c>
      <c r="B9">
        <f>=IF(Workspace!B7="","",Workspace!B7)</f>
      </c>
      <c r="C9">
        <v>-8</v>
      </c>
      <c r="D9">
        <v>6</v>
      </c>
      <c r="E9">
        <v>-9</v>
      </c>
      <c r="F9">
        <v>7</v>
      </c>
      <c r="G9">
        <v>-7</v>
      </c>
      <c r="H9">
        <v>6</v>
      </c>
      <c r="I9">
        <v>-8</v>
      </c>
      <c r="J9">
        <v>7</v>
      </c>
      <c r="K9">
        <v>-9</v>
      </c>
      <c r="L9">
        <v>8</v>
      </c>
      <c r="M9">
        <f>=IF(Workspace!B7="","",(C9*C$2+E9*E$2+G9*G$2+I9*I$2+K9*K$2)/(C2+E2+G2+I2+K2))</f>
      </c>
      <c r="N9">
        <f>=IF(Workspace!B7="","",(D9*C$2+F9*E$2+H9*G$2+J9*I$2+L9*K$2)/(C2+E2+G2+I2+K2))</f>
      </c>
    </row>
    <row r="10" spans="1:14" x14ac:dyDescent="0.25">
      <c r="A10">
        <v>7</v>
      </c>
      <c r="B10">
        <f>=IF(Workspace!B8="","",Workspace!B8)</f>
      </c>
      <c r="C10">
        <v>-1</v>
      </c>
      <c r="D10">
        <v>9</v>
      </c>
      <c r="E10">
        <v>1</v>
      </c>
      <c r="F10">
        <v>9</v>
      </c>
      <c r="G10">
        <v>0</v>
      </c>
      <c r="H10">
        <v>9</v>
      </c>
      <c r="I10">
        <v>-1</v>
      </c>
      <c r="J10">
        <v>9</v>
      </c>
      <c r="K10">
        <v>0</v>
      </c>
      <c r="L10">
        <v>10</v>
      </c>
      <c r="M10">
        <f>=IF(Workspace!B8="","",(C10*C$2+E10*E$2+G10*G$2+I10*I$2+K10*K$2)/(C2+E2+G2+I2+K2))</f>
      </c>
      <c r="N10">
        <f>=IF(Workspace!B8="","",(D10*C$2+F10*E$2+H10*G$2+J10*I$2+L10*K$2)/(C2+E2+G2+I2+K2))</f>
      </c>
    </row>
    <row r="11" spans="1:14" x14ac:dyDescent="0.25">
      <c r="A11">
        <v>8</v>
      </c>
      <c r="B11">
        <f>=IF(Workspace!B9="","",Workspace!B9)</f>
      </c>
      <c r="C11">
        <v>6</v>
      </c>
      <c r="D11">
        <v>2</v>
      </c>
      <c r="E11">
        <v>7</v>
      </c>
      <c r="F11">
        <v>3</v>
      </c>
      <c r="G11">
        <v>8</v>
      </c>
      <c r="H11">
        <v>2</v>
      </c>
      <c r="I11">
        <v>6</v>
      </c>
      <c r="J11">
        <v>2</v>
      </c>
      <c r="K11">
        <v>6</v>
      </c>
      <c r="L11">
        <v>1</v>
      </c>
      <c r="M11">
        <f>=IF(Workspace!B9="","",(C11*C$2+E11*E$2+G11*G$2+I11*I$2+K11*K$2)/(C2+E2+G2+I2+K2))</f>
      </c>
      <c r="N11">
        <f>=IF(Workspace!B9="","",(D11*C$2+F11*E$2+H11*G$2+J11*I$2+L11*K$2)/(C2+E2+G2+I2+K2))</f>
      </c>
    </row>
    <row r="12" spans="1:14" x14ac:dyDescent="0.25">
      <c r="A12">
        <v>9</v>
      </c>
      <c r="B12">
        <f>=IF(Workspace!B10="","",Workspace!B10)</f>
      </c>
      <c r="C12">
        <v>3</v>
      </c>
      <c r="D12">
        <v>-3</v>
      </c>
      <c r="E12">
        <v>4</v>
      </c>
      <c r="F12">
        <v>-2</v>
      </c>
      <c r="G12">
        <v>5</v>
      </c>
      <c r="H12">
        <v>-3</v>
      </c>
      <c r="I12">
        <v>3</v>
      </c>
      <c r="J12">
        <v>-3</v>
      </c>
      <c r="K12">
        <v>3</v>
      </c>
      <c r="L12">
        <v>-4</v>
      </c>
      <c r="M12">
        <f>=IF(Workspace!B10="","",(C12*C$2+E12*E$2+G12*G$2+I12*I$2+K12*K$2)/(C2+E2+G2+I2+K2))</f>
      </c>
      <c r="N12">
        <f>=IF(Workspace!B10="","",(D12*C$2+F12*E$2+H12*G$2+J12*I$2+L12*K$2)/(C2+E2+G2+I2+K2))</f>
      </c>
    </row>
    <row r="13" spans="1:14" x14ac:dyDescent="0.25">
      <c r="A13">
        <v>10</v>
      </c>
      <c r="B13">
        <f>=IF(Workspace!B11="","",Workspace!B11)</f>
      </c>
      <c r="C13">
        <v>6</v>
      </c>
      <c r="D13">
        <v>1</v>
      </c>
      <c r="E13">
        <v>7</v>
      </c>
      <c r="F13">
        <v>2</v>
      </c>
      <c r="G13">
        <v>8</v>
      </c>
      <c r="H13">
        <v>1</v>
      </c>
      <c r="I13">
        <v>6</v>
      </c>
      <c r="J13">
        <v>1</v>
      </c>
      <c r="K13">
        <v>6</v>
      </c>
      <c r="L13">
        <v>0</v>
      </c>
      <c r="M13">
        <f>=IF(Workspace!B11="","",(C13*C$2+E13*E$2+G13*G$2+I13*I$2+K13*K$2)/(C2+E2+G2+I2+K2))</f>
      </c>
      <c r="N13">
        <f>=IF(Workspace!B11="","",(D13*C$2+F13*E$2+H13*G$2+J13*I$2+L13*K$2)/(C2+E2+G2+I2+K2))</f>
      </c>
    </row>
    <row r="14" spans="1:14" x14ac:dyDescent="0.25">
      <c r="A14">
        <v>11</v>
      </c>
      <c r="B14">
        <f>=IF(Workspace!B12="","",Workspace!B12)</f>
      </c>
      <c r="C14">
        <v>9</v>
      </c>
      <c r="D14">
        <v>7</v>
      </c>
      <c r="E14">
        <v>8</v>
      </c>
      <c r="F14">
        <v>6</v>
      </c>
      <c r="G14">
        <v>7</v>
      </c>
      <c r="H14">
        <v>5</v>
      </c>
      <c r="I14">
        <v>8</v>
      </c>
      <c r="J14">
        <v>6</v>
      </c>
      <c r="K14">
        <v>9</v>
      </c>
      <c r="L14">
        <v>7</v>
      </c>
      <c r="M14">
        <f>=IF(Workspace!B12="","",(C14*C$2+E14*E$2+G14*G$2+I14*I$2+K14*K$2)/(C2+E2+G2+I2+K2))</f>
      </c>
      <c r="N14">
        <f>=IF(Workspace!B12="","",(D14*C$2+F14*E$2+H14*G$2+J14*I$2+L14*K$2)/(C2+E2+G2+I2+K2))</f>
      </c>
    </row>
    <row r="15" spans="1:14" x14ac:dyDescent="0.25">
      <c r="A15">
        <v>12</v>
      </c>
      <c r="B15">
        <f>=IF(Workspace!B13="","",Workspace!B13)</f>
      </c>
      <c r="C15">
        <v>-7</v>
      </c>
      <c r="D15">
        <v>5</v>
      </c>
      <c r="E15">
        <v>-6</v>
      </c>
      <c r="F15">
        <v>6</v>
      </c>
      <c r="G15">
        <v>-5</v>
      </c>
      <c r="H15">
        <v>4</v>
      </c>
      <c r="I15">
        <v>-7</v>
      </c>
      <c r="J15">
        <v>5</v>
      </c>
      <c r="K15">
        <v>-8</v>
      </c>
      <c r="L15">
        <v>6</v>
      </c>
      <c r="M15">
        <f>=IF(Workspace!B13="","",(C15*C$2+E15*E$2+G15*G$2+I15*I$2+K15*K$2)/(C2+E2+G2+I2+K2))</f>
      </c>
      <c r="N15">
        <f>=IF(Workspace!B13="","",(D15*C$2+F15*E$2+H15*G$2+J15*I$2+L15*K$2)/(C2+E2+G2+I2+K2))</f>
      </c>
    </row>
    <row r="16" spans="1:14" x14ac:dyDescent="0.25">
      <c r="A16">
        <v>13</v>
      </c>
      <c r="B16">
        <f>=IF(Workspace!B14="","",Workspace!B14)</f>
      </c>
      <c r="C16">
        <v>8</v>
      </c>
      <c r="D16">
        <v>0</v>
      </c>
      <c r="E16">
        <v>7</v>
      </c>
      <c r="F16">
        <v>1</v>
      </c>
      <c r="G16">
        <v>8</v>
      </c>
      <c r="H16">
        <v>-1</v>
      </c>
      <c r="I16">
        <v>8</v>
      </c>
      <c r="J16">
        <v>0</v>
      </c>
      <c r="K16">
        <v>7</v>
      </c>
      <c r="L16">
        <v>0</v>
      </c>
      <c r="M16">
        <f>=IF(Workspace!B14="","",(C16*C$2+E16*E$2+G16*G$2+I16*I$2+K16*K$2)/(C2+E2+G2+I2+K2))</f>
      </c>
      <c r="N16">
        <f>=IF(Workspace!B14="","",(D16*C$2+F16*E$2+H16*G$2+J16*I$2+L16*K$2)/(C2+E2+G2+I2+K2))</f>
      </c>
    </row>
    <row r="17" spans="1:14" x14ac:dyDescent="0.25">
      <c r="A17">
        <v>14</v>
      </c>
      <c r="B17">
        <f>=IF(Workspace!B15="","",Workspace!B15)</f>
      </c>
      <c r="C17">
        <v>10</v>
      </c>
      <c r="D17">
        <v>8</v>
      </c>
      <c r="E17">
        <v>9</v>
      </c>
      <c r="F17">
        <v>7</v>
      </c>
      <c r="G17">
        <v>9</v>
      </c>
      <c r="H17">
        <v>7</v>
      </c>
      <c r="I17">
        <v>10</v>
      </c>
      <c r="J17">
        <v>8</v>
      </c>
      <c r="K17">
        <v>10</v>
      </c>
      <c r="L17">
        <v>9</v>
      </c>
      <c r="M17">
        <f>=IF(Workspace!B15="","",(C17*C$2+E17*E$2+G17*G$2+I17*I$2+K17*K$2)/(C2+E2+G2+I2+K2))</f>
      </c>
      <c r="N17">
        <f>=IF(Workspace!B15="","",(D17*C$2+F17*E$2+H17*G$2+J17*I$2+L17*K$2)/(C2+E2+G2+I2+K2))</f>
      </c>
    </row>
    <row r="18" spans="1:14" x14ac:dyDescent="0.25">
      <c r="A18">
        <v>15</v>
      </c>
      <c r="B18">
        <f>=IF(Workspace!B16="","",Workspace!B16)</f>
      </c>
      <c r="C18">
        <v>2</v>
      </c>
      <c r="D18">
        <v>9</v>
      </c>
      <c r="E18">
        <v>3</v>
      </c>
      <c r="F18">
        <v>10</v>
      </c>
      <c r="G18">
        <v>4</v>
      </c>
      <c r="H18">
        <v>9</v>
      </c>
      <c r="I18">
        <v>2</v>
      </c>
      <c r="J18">
        <v>9</v>
      </c>
      <c r="K18">
        <v>1</v>
      </c>
      <c r="L18">
        <v>9</v>
      </c>
      <c r="M18">
        <f>=IF(Workspace!B16="","",(C18*C$2+E18*E$2+G18*G$2+I18*I$2+K18*K$2)/(C2+E2+G2+I2+K2))</f>
      </c>
      <c r="N18">
        <f>=IF(Workspace!B16="","",(D18*C$2+F18*E$2+H18*G$2+J18*I$2+L18*K$2)/(C2+E2+G2+I2+K2))</f>
      </c>
    </row>
    <row r="19" spans="1:14" x14ac:dyDescent="0.25">
      <c r="A19">
        <v>16</v>
      </c>
      <c r="B19">
        <f>=IF(Workspace!B17="","",Workspace!B17)</f>
      </c>
      <c r="C19">
        <v>4</v>
      </c>
      <c r="D19">
        <v>5</v>
      </c>
      <c r="E19">
        <v>5</v>
      </c>
      <c r="F19">
        <v>6</v>
      </c>
      <c r="G19">
        <v>3</v>
      </c>
      <c r="H19">
        <v>5</v>
      </c>
      <c r="I19">
        <v>4</v>
      </c>
      <c r="J19">
        <v>5</v>
      </c>
      <c r="K19">
        <v>4</v>
      </c>
      <c r="L19">
        <v>4</v>
      </c>
      <c r="M19">
        <f>=IF(Workspace!B17="","",(C19*C$2+E19*E$2+G19*G$2+I19*I$2+K19*K$2)/(C2+E2+G2+I2+K2))</f>
      </c>
      <c r="N19">
        <f>=IF(Workspace!B17="","",(D19*C$2+F19*E$2+H19*G$2+J19*I$2+L19*K$2)/(C2+E2+G2+I2+K2))</f>
      </c>
    </row>
    <row r="20" spans="1:14" x14ac:dyDescent="0.25">
      <c r="A20">
        <v>17</v>
      </c>
      <c r="B20">
        <f>=IF(Workspace!B18="","",Workspace!B18)</f>
      </c>
      <c r="C20">
        <v>-2</v>
      </c>
      <c r="D20">
        <v>9</v>
      </c>
      <c r="E20">
        <v>-1</v>
      </c>
      <c r="F20">
        <v>10</v>
      </c>
      <c r="G20">
        <v>-3</v>
      </c>
      <c r="H20">
        <v>9</v>
      </c>
      <c r="I20">
        <v>-2</v>
      </c>
      <c r="J20">
        <v>10</v>
      </c>
      <c r="K20">
        <v>-3</v>
      </c>
      <c r="L20">
        <v>9</v>
      </c>
      <c r="M20">
        <f>=IF(Workspace!B18="","",(C20*C$2+E20*E$2+G20*G$2+I20*I$2+K20*K$2)/(C2+E2+G2+I2+K2))</f>
      </c>
      <c r="N20">
        <f>=IF(Workspace!B18="","",(D20*C$2+F20*E$2+H20*G$2+J20*I$2+L20*K$2)/(C2+E2+G2+I2+K2))</f>
      </c>
    </row>
    <row r="21" spans="1:14" x14ac:dyDescent="0.25">
      <c r="A21">
        <v>18</v>
      </c>
      <c r="B21">
        <f>=IF(Workspace!B19="","",Workspace!B19)</f>
      </c>
      <c r="C21">
        <v>-5</v>
      </c>
      <c r="D21">
        <v>4</v>
      </c>
      <c r="E21">
        <v>-4</v>
      </c>
      <c r="F21">
        <v>5</v>
      </c>
      <c r="G21">
        <v>-4</v>
      </c>
      <c r="H21">
        <v>4</v>
      </c>
      <c r="I21">
        <v>-5</v>
      </c>
      <c r="J21">
        <v>5</v>
      </c>
      <c r="K21">
        <v>-6</v>
      </c>
      <c r="L21">
        <v>4</v>
      </c>
      <c r="M21">
        <f>=IF(Workspace!B19="","",(C21*C$2+E21*E$2+G21*G$2+I21*I$2+K21*K$2)/(C2+E2+G2+I2+K2))</f>
      </c>
      <c r="N21">
        <f>=IF(Workspace!B19="","",(D21*C$2+F21*E$2+H21*G$2+J21*I$2+L21*K$2)/(C2+E2+G2+I2+K2))</f>
      </c>
    </row>
    <row r="22" spans="1:14" x14ac:dyDescent="0.25">
      <c r="A22">
        <v>19</v>
      </c>
      <c r="B22">
        <f>=IF(Workspace!B20="","",Workspace!B20)</f>
      </c>
      <c r="C22">
        <v>7</v>
      </c>
      <c r="D22">
        <v>6</v>
      </c>
      <c r="E22">
        <v>8</v>
      </c>
      <c r="F22">
        <v>7</v>
      </c>
      <c r="G22">
        <v>6</v>
      </c>
      <c r="H22">
        <v>6</v>
      </c>
      <c r="I22">
        <v>8</v>
      </c>
      <c r="J22">
        <v>7</v>
      </c>
      <c r="K22">
        <v>7</v>
      </c>
      <c r="L22">
        <v>6</v>
      </c>
      <c r="M22">
        <f>=IF(Workspace!B20="","",(C22*C$2+E22*E$2+G22*G$2+I22*I$2+K22*K$2)/(C2+E2+G2+I2+K2))</f>
      </c>
      <c r="N22">
        <f>=IF(Workspace!B20="","",(D22*C$2+F22*E$2+H22*G$2+J22*I$2+L22*K$2)/(C2+E2+G2+I2+K2))</f>
      </c>
    </row>
    <row r="23" spans="1:14" x14ac:dyDescent="0.25">
      <c r="A23">
        <v>20</v>
      </c>
      <c r="B23">
        <f>=IF(Workspace!B21="","",Workspace!B21)</f>
      </c>
      <c r="C23">
        <v>3</v>
      </c>
      <c r="D23">
        <v>3</v>
      </c>
      <c r="E23">
        <v>4</v>
      </c>
      <c r="F23">
        <v>4</v>
      </c>
      <c r="G23">
        <v>5</v>
      </c>
      <c r="H23">
        <v>3</v>
      </c>
      <c r="I23">
        <v>3</v>
      </c>
      <c r="J23">
        <v>3</v>
      </c>
      <c r="K23">
        <v>3</v>
      </c>
      <c r="L23">
        <v>2</v>
      </c>
      <c r="M23">
        <f>=IF(Workspace!B21="","",(C23*C$2+E23*E$2+G23*G$2+I23*I$2+K23*K$2)/(C2+E2+G2+I2+K2))</f>
      </c>
      <c r="N23">
        <f>=IF(Workspace!B21="","",(D23*C$2+F23*E$2+H23*G$2+J23*I$2+L23*K$2)/(C2+E2+G2+I2+K2))</f>
      </c>
    </row>
    <row r="24" spans="1:14" x14ac:dyDescent="0.25">
      <c r="A24">
        <v>21</v>
      </c>
      <c r="B24">
        <f>=IF(Workspace!B22="","",Workspace!B22)</f>
      </c>
      <c r="M24">
        <f>=IF(Workspace!B22="","",(C24*C$2+E24*E$2+G24*G$2+I24*I$2+K24*K$2)/(C2+E2+G2+I2+K2))</f>
      </c>
      <c r="N24">
        <f>=IF(Workspace!B22="","",(D24*C$2+F24*E$2+H24*G$2+J24*I$2+L24*K$2)/(C2+E2+G2+I2+K2))</f>
      </c>
    </row>
    <row r="25" spans="1:14" x14ac:dyDescent="0.25">
      <c r="A25">
        <v>22</v>
      </c>
      <c r="B25">
        <f>=IF(Workspace!B23="","",Workspace!B23)</f>
      </c>
      <c r="M25">
        <f>=IF(Workspace!B23="","",(C25*C$2+E25*E$2+G25*G$2+I25*I$2+K25*K$2)/(C2+E2+G2+I2+K2))</f>
      </c>
      <c r="N25">
        <f>=IF(Workspace!B23="","",(D25*C$2+F25*E$2+H25*G$2+J25*I$2+L25*K$2)/(C2+E2+G2+I2+K2))</f>
      </c>
    </row>
    <row r="26" spans="1:14" x14ac:dyDescent="0.25">
      <c r="A26">
        <v>23</v>
      </c>
      <c r="B26">
        <f>=IF(Workspace!B24="","",Workspace!B24)</f>
      </c>
      <c r="M26">
        <f>=IF(Workspace!B24="","",(C26*C$2+E26*E$2+G26*G$2+I26*I$2+K26*K$2)/(C2+E2+G2+I2+K2))</f>
      </c>
      <c r="N26">
        <f>=IF(Workspace!B24="","",(D26*C$2+F26*E$2+H26*G$2+J26*I$2+L26*K$2)/(C2+E2+G2+I2+K2))</f>
      </c>
    </row>
    <row r="27" spans="1:14" x14ac:dyDescent="0.25">
      <c r="A27">
        <v>24</v>
      </c>
      <c r="B27">
        <f>=IF(Workspace!B25="","",Workspace!B25)</f>
      </c>
      <c r="M27">
        <f>=IF(Workspace!B25="","",(C27*C$2+E27*E$2+G27*G$2+I27*I$2+K27*K$2)/(C2+E2+G2+I2+K2))</f>
      </c>
      <c r="N27">
        <f>=IF(Workspace!B25="","",(D27*C$2+F27*E$2+H27*G$2+J27*I$2+L27*K$2)/(C2+E2+G2+I2+K2))</f>
      </c>
    </row>
    <row r="28" spans="1:14" x14ac:dyDescent="0.25">
      <c r="A28">
        <v>25</v>
      </c>
      <c r="B28">
        <f>=IF(Workspace!B26="","",Workspace!B26)</f>
      </c>
      <c r="M28">
        <f>=IF(Workspace!B26="","",(C28*C$2+E28*E$2+G28*G$2+I28*I$2+K28*K$2)/(C2+E2+G2+I2+K2))</f>
      </c>
      <c r="N28">
        <f>=IF(Workspace!B26="","",(D28*C$2+F28*E$2+H28*G$2+J28*I$2+L28*K$2)/(C2+E2+G2+I2+K2))</f>
      </c>
    </row>
    <row r="29" spans="1:14" x14ac:dyDescent="0.25">
      <c r="A29">
        <v>26</v>
      </c>
      <c r="B29">
        <f>=IF(Workspace!B27="","",Workspace!B27)</f>
      </c>
      <c r="M29">
        <f>=IF(Workspace!B27="","",(C29*C$2+E29*E$2+G29*G$2+I29*I$2+K29*K$2)/(C2+E2+G2+I2+K2))</f>
      </c>
      <c r="N29">
        <f>=IF(Workspace!B27="","",(D29*C$2+F29*E$2+H29*G$2+J29*I$2+L29*K$2)/(C2+E2+G2+I2+K2))</f>
      </c>
    </row>
    <row r="30" spans="1:14" x14ac:dyDescent="0.25">
      <c r="A30">
        <v>27</v>
      </c>
      <c r="B30">
        <f>=IF(Workspace!B28="","",Workspace!B28)</f>
      </c>
      <c r="M30">
        <f>=IF(Workspace!B28="","",(C30*C$2+E30*E$2+G30*G$2+I30*I$2+K30*K$2)/(C2+E2+G2+I2+K2))</f>
      </c>
      <c r="N30">
        <f>=IF(Workspace!B28="","",(D30*C$2+F30*E$2+H30*G$2+J30*I$2+L30*K$2)/(C2+E2+G2+I2+K2))</f>
      </c>
    </row>
    <row r="31" spans="1:14" x14ac:dyDescent="0.25">
      <c r="A31">
        <v>28</v>
      </c>
      <c r="B31">
        <f>=IF(Workspace!B29="","",Workspace!B29)</f>
      </c>
      <c r="M31">
        <f>=IF(Workspace!B29="","",(C31*C$2+E31*E$2+G31*G$2+I31*I$2+K31*K$2)/(C2+E2+G2+I2+K2))</f>
      </c>
      <c r="N31">
        <f>=IF(Workspace!B29="","",(D31*C$2+F31*E$2+H31*G$2+J31*I$2+L31*K$2)/(C2+E2+G2+I2+K2))</f>
      </c>
    </row>
    <row r="32" spans="1:14" x14ac:dyDescent="0.25">
      <c r="A32">
        <v>29</v>
      </c>
      <c r="B32">
        <f>=IF(Workspace!B30="","",Workspace!B30)</f>
      </c>
      <c r="M32">
        <f>=IF(Workspace!B30="","",(C32*C$2+E32*E$2+G32*G$2+I32*I$2+K32*K$2)/(C2+E2+G2+I2+K2))</f>
      </c>
      <c r="N32">
        <f>=IF(Workspace!B30="","",(D32*C$2+F32*E$2+H32*G$2+J32*I$2+L32*K$2)/(C2+E2+G2+I2+K2))</f>
      </c>
    </row>
    <row r="33" spans="1:14" x14ac:dyDescent="0.25">
      <c r="A33">
        <v>30</v>
      </c>
      <c r="B33">
        <f>=IF(Workspace!B31="","",Workspace!B31)</f>
      </c>
      <c r="M33">
        <f>=IF(Workspace!B31="","",(C33*C$2+E33*E$2+G33*G$2+I33*I$2+K33*K$2)/(C2+E2+G2+I2+K2))</f>
      </c>
      <c r="N33">
        <f>=IF(Workspace!B31="","",(D33*C$2+F33*E$2+H33*G$2+J33*I$2+L33*K$2)/(C2+E2+G2+I2+K2))</f>
      </c>
    </row>
  </sheetData>
  <mergeCells count="10">
    <mergeCell ref="C1:D1"/>
    <mergeCell ref="E1:F1"/>
    <mergeCell ref="G1:H1"/>
    <mergeCell ref="I1:J1"/>
    <mergeCell ref="K1:L1"/>
    <mergeCell ref="C2:D2"/>
    <mergeCell ref="E2:F2"/>
    <mergeCell ref="G2:H2"/>
    <mergeCell ref="I2:J2"/>
    <mergeCell ref="K2:L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31"/>
  <sheetViews>
    <sheetView workbookViewId="0">
      <pane xSplit="3" ySplit="1" topLeftCell="D2" activePane="bottomRight" state="frozen"/>
      <selection pane="bottomRight"/>
    </sheetView>
  </sheetViews>
  <sheetFormatPr defaultRowHeight="15" outlineLevelRow="0" outlineLevelCol="0" x14ac:dyDescent="55"/>
  <cols>
    <col min="1" max="1" width="4" customWidth="1"/>
    <col min="2" max="2" width="26" customWidth="1"/>
    <col min="3" max="3" width="24" customWidth="1"/>
    <col min="4" max="4" width="14" customWidth="1"/>
    <col min="5" max="5" width="18" customWidth="1"/>
    <col min="6" max="6" width="12" customWidth="1"/>
    <col min="7" max="7" width="16" customWidth="1"/>
    <col min="8" max="9" width="14" customWidth="1"/>
    <col min="10" max="10" width="16" customWidth="1"/>
    <col min="12" max="13" width="7" style="37" customWidth="1"/>
    <col min="14" max="14" width="20" customWidth="1"/>
    <col min="15" max="15" width="10" customWidth="1"/>
    <col min="16" max="16" width="40" customWidth="1"/>
    <col min="17" max="17" width="9" hidden="1" customWidth="1"/>
    <col min="18" max="18" width="9" hidden="1" customWidth="1"/>
  </cols>
  <sheetData>
    <row r="1" spans="1:18" x14ac:dyDescent="0.25">
      <c r="A1" s="38" t="s">
        <v>142</v>
      </c>
      <c r="B1" s="38" t="s">
        <v>153</v>
      </c>
      <c r="C1" s="38" t="s">
        <v>156</v>
      </c>
      <c r="D1" s="38" t="s">
        <v>157</v>
      </c>
      <c r="E1" s="38" t="s">
        <v>158</v>
      </c>
      <c r="F1" s="38" t="s">
        <v>159</v>
      </c>
      <c r="G1" s="38" t="s">
        <v>160</v>
      </c>
      <c r="H1" s="38" t="s">
        <v>161</v>
      </c>
      <c r="I1" s="38" t="s">
        <v>162</v>
      </c>
      <c r="J1" s="38" t="s">
        <v>163</v>
      </c>
      <c r="K1" s="38" t="s">
        <v>164</v>
      </c>
      <c r="L1" s="39" t="s">
        <v>154</v>
      </c>
      <c r="M1" s="39" t="s">
        <v>155</v>
      </c>
      <c r="N1" s="38" t="s">
        <v>165</v>
      </c>
      <c r="O1" s="38" t="s">
        <v>166</v>
      </c>
      <c r="P1" s="38" t="s">
        <v>167</v>
      </c>
      <c r="Q1" t="s">
        <v>168</v>
      </c>
      <c r="R1" t="s">
        <v>169</v>
      </c>
    </row>
    <row r="2" spans="1:18" x14ac:dyDescent="0.25">
      <c r="A2">
        <v>1</v>
      </c>
      <c r="B2" t="s">
        <v>170</v>
      </c>
      <c r="C2" t="s">
        <v>171</v>
      </c>
      <c r="D2" t="s">
        <v>3</v>
      </c>
      <c r="E2" t="s">
        <v>49</v>
      </c>
      <c r="F2" t="s">
        <v>172</v>
      </c>
      <c r="G2" t="s">
        <v>173</v>
      </c>
      <c r="H2" t="s">
        <v>174</v>
      </c>
      <c r="I2" t="s">
        <v>175</v>
      </c>
      <c r="J2" t="s">
        <v>176</v>
      </c>
      <c r="K2" t="s">
        <v>177</v>
      </c>
      <c r="L2" s="37">
        <f>=IF(B2="","",Scoring!M4)</f>
      </c>
      <c r="M2" s="37">
        <f>=IF(B2="","",Scoring!N4)</f>
      </c>
      <c r="N2" s="40">
        <f>=IF(B2="","",INDEX(ZoneGrid,R2,Q2))</f>
      </c>
      <c r="O2" t="s">
        <v>178</v>
      </c>
      <c r="P2" t="s">
        <v>179</v>
      </c>
      <c r="Q2">
        <f>=IF(B2="","",IF(L2&lt;-5,1,IF(L2&lt;0,2,IF(L2&lt;5,3,4))))</f>
      </c>
      <c r="R2">
        <f>=IF(B2="","",IF(M2&gt;5,1,IF(M2&gt;2.5,2,IF(M2&gt;0,3,IF(M2&gt;-2.5,4,IF(M2&gt;-5,5,6))))))</f>
      </c>
    </row>
    <row r="3" spans="1:18" x14ac:dyDescent="0.25">
      <c r="A3">
        <v>2</v>
      </c>
      <c r="B3" t="s">
        <v>180</v>
      </c>
      <c r="C3" t="s">
        <v>180</v>
      </c>
      <c r="D3" t="s">
        <v>2</v>
      </c>
      <c r="E3" t="s">
        <v>36</v>
      </c>
      <c r="F3" t="s">
        <v>172</v>
      </c>
      <c r="G3" t="s">
        <v>173</v>
      </c>
      <c r="H3" t="s">
        <v>174</v>
      </c>
      <c r="I3" t="s">
        <v>181</v>
      </c>
      <c r="J3" t="s">
        <v>181</v>
      </c>
      <c r="K3" t="s">
        <v>182</v>
      </c>
      <c r="L3" s="37">
        <f>=IF(B3="","",Scoring!M5)</f>
      </c>
      <c r="M3" s="37">
        <f>=IF(B3="","",Scoring!N5)</f>
      </c>
      <c r="N3" s="41">
        <f>=IF(B3="","",INDEX(ZoneGrid,R3,Q3))</f>
      </c>
      <c r="O3" t="s">
        <v>178</v>
      </c>
      <c r="P3" t="s">
        <v>183</v>
      </c>
      <c r="Q3">
        <f>=IF(B3="","",IF(L3&lt;-5,1,IF(L3&lt;0,2,IF(L3&lt;5,3,4))))</f>
      </c>
      <c r="R3">
        <f>=IF(B3="","",IF(M3&gt;5,1,IF(M3&gt;2.5,2,IF(M3&gt;0,3,IF(M3&gt;-2.5,4,IF(M3&gt;-5,5,6))))))</f>
      </c>
    </row>
    <row r="4" spans="1:18" x14ac:dyDescent="0.25">
      <c r="A4">
        <v>3</v>
      </c>
      <c r="B4" t="s">
        <v>184</v>
      </c>
      <c r="C4" t="s">
        <v>184</v>
      </c>
      <c r="D4" t="s">
        <v>2</v>
      </c>
      <c r="E4" t="s">
        <v>40</v>
      </c>
      <c r="F4" t="s">
        <v>172</v>
      </c>
      <c r="G4" t="s">
        <v>173</v>
      </c>
      <c r="H4" t="s">
        <v>174</v>
      </c>
      <c r="I4" t="s">
        <v>181</v>
      </c>
      <c r="J4" t="s">
        <v>181</v>
      </c>
      <c r="K4" t="s">
        <v>177</v>
      </c>
      <c r="L4" s="37">
        <f>=IF(B4="","",Scoring!M6)</f>
      </c>
      <c r="M4" s="37">
        <f>=IF(B4="","",Scoring!N6)</f>
      </c>
      <c r="N4" s="42">
        <f>=IF(B4="","",INDEX(ZoneGrid,R4,Q4))</f>
      </c>
      <c r="O4" t="s">
        <v>178</v>
      </c>
      <c r="P4" t="s">
        <v>185</v>
      </c>
      <c r="Q4">
        <f>=IF(B4="","",IF(L4&lt;-5,1,IF(L4&lt;0,2,IF(L4&lt;5,3,4))))</f>
      </c>
      <c r="R4">
        <f>=IF(B4="","",IF(M4&gt;5,1,IF(M4&gt;2.5,2,IF(M4&gt;0,3,IF(M4&gt;-2.5,4,IF(M4&gt;-5,5,6))))))</f>
      </c>
    </row>
    <row r="5" spans="1:18" x14ac:dyDescent="0.25">
      <c r="A5">
        <v>4</v>
      </c>
      <c r="B5" t="s">
        <v>186</v>
      </c>
      <c r="C5" t="s">
        <v>186</v>
      </c>
      <c r="D5" t="s">
        <v>5</v>
      </c>
      <c r="E5" t="s">
        <v>47</v>
      </c>
      <c r="F5" t="s">
        <v>172</v>
      </c>
      <c r="G5" t="s">
        <v>173</v>
      </c>
      <c r="H5" t="s">
        <v>174</v>
      </c>
      <c r="I5" t="s">
        <v>187</v>
      </c>
      <c r="J5" t="s">
        <v>188</v>
      </c>
      <c r="K5" t="s">
        <v>177</v>
      </c>
      <c r="L5" s="37">
        <f>=IF(B5="","",Scoring!M7)</f>
      </c>
      <c r="M5" s="37">
        <f>=IF(B5="","",Scoring!N7)</f>
      </c>
      <c r="N5" s="40">
        <f>=IF(B5="","",INDEX(ZoneGrid,R5,Q5))</f>
      </c>
      <c r="O5" t="s">
        <v>178</v>
      </c>
      <c r="P5" t="s">
        <v>189</v>
      </c>
      <c r="Q5">
        <f>=IF(B5="","",IF(L5&lt;-5,1,IF(L5&lt;0,2,IF(L5&lt;5,3,4))))</f>
      </c>
      <c r="R5">
        <f>=IF(B5="","",IF(M5&gt;5,1,IF(M5&gt;2.5,2,IF(M5&gt;0,3,IF(M5&gt;-2.5,4,IF(M5&gt;-5,5,6))))))</f>
      </c>
    </row>
    <row r="6" spans="1:18" x14ac:dyDescent="0.25">
      <c r="A6">
        <v>5</v>
      </c>
      <c r="B6" t="s">
        <v>190</v>
      </c>
      <c r="C6" t="s">
        <v>191</v>
      </c>
      <c r="D6" t="s">
        <v>3</v>
      </c>
      <c r="E6" t="s">
        <v>63</v>
      </c>
      <c r="F6" t="s">
        <v>172</v>
      </c>
      <c r="G6" t="s">
        <v>173</v>
      </c>
      <c r="H6" t="s">
        <v>192</v>
      </c>
      <c r="I6" t="s">
        <v>181</v>
      </c>
      <c r="J6" t="s">
        <v>181</v>
      </c>
      <c r="K6" t="s">
        <v>177</v>
      </c>
      <c r="L6" s="37">
        <f>=IF(B6="","",Scoring!M8)</f>
      </c>
      <c r="M6" s="37">
        <f>=IF(B6="","",Scoring!N8)</f>
      </c>
      <c r="N6" s="43">
        <f>=IF(B6="","",INDEX(ZoneGrid,R6,Q6))</f>
      </c>
      <c r="O6" t="s">
        <v>178</v>
      </c>
      <c r="P6" t="s">
        <v>193</v>
      </c>
      <c r="Q6">
        <f>=IF(B6="","",IF(L6&lt;-5,1,IF(L6&lt;0,2,IF(L6&lt;5,3,4))))</f>
      </c>
      <c r="R6">
        <f>=IF(B6="","",IF(M6&gt;5,1,IF(M6&gt;2.5,2,IF(M6&gt;0,3,IF(M6&gt;-2.5,4,IF(M6&gt;-5,5,6))))))</f>
      </c>
    </row>
    <row r="7" spans="1:18" x14ac:dyDescent="0.25">
      <c r="A7">
        <v>6</v>
      </c>
      <c r="B7" t="s">
        <v>194</v>
      </c>
      <c r="C7" t="s">
        <v>194</v>
      </c>
      <c r="D7" t="s">
        <v>2</v>
      </c>
      <c r="E7" t="s">
        <v>60</v>
      </c>
      <c r="F7" t="s">
        <v>172</v>
      </c>
      <c r="G7" t="s">
        <v>173</v>
      </c>
      <c r="H7" t="s">
        <v>174</v>
      </c>
      <c r="I7" t="s">
        <v>181</v>
      </c>
      <c r="J7" t="s">
        <v>181</v>
      </c>
      <c r="K7" t="s">
        <v>177</v>
      </c>
      <c r="L7" s="37">
        <f>=IF(B7="","",Scoring!M9)</f>
      </c>
      <c r="M7" s="37">
        <f>=IF(B7="","",Scoring!N9)</f>
      </c>
      <c r="N7" s="44">
        <f>=IF(B7="","",INDEX(ZoneGrid,R7,Q7))</f>
      </c>
      <c r="O7" t="s">
        <v>195</v>
      </c>
      <c r="P7" t="s">
        <v>196</v>
      </c>
      <c r="Q7">
        <f>=IF(B7="","",IF(L7&lt;-5,1,IF(L7&lt;0,2,IF(L7&lt;5,3,4))))</f>
      </c>
      <c r="R7">
        <f>=IF(B7="","",IF(M7&gt;5,1,IF(M7&gt;2.5,2,IF(M7&gt;0,3,IF(M7&gt;-2.5,4,IF(M7&gt;-5,5,6))))))</f>
      </c>
    </row>
    <row r="8" spans="1:18" x14ac:dyDescent="0.25">
      <c r="A8">
        <v>7</v>
      </c>
      <c r="B8" t="s">
        <v>197</v>
      </c>
      <c r="C8" t="s">
        <v>197</v>
      </c>
      <c r="D8" t="s">
        <v>3</v>
      </c>
      <c r="E8" t="s">
        <v>55</v>
      </c>
      <c r="F8" t="s">
        <v>172</v>
      </c>
      <c r="G8" t="s">
        <v>173</v>
      </c>
      <c r="H8" t="s">
        <v>162</v>
      </c>
      <c r="I8" t="s">
        <v>181</v>
      </c>
      <c r="J8" t="s">
        <v>181</v>
      </c>
      <c r="K8" t="s">
        <v>177</v>
      </c>
      <c r="L8" s="37">
        <f>=IF(B8="","",Scoring!M10)</f>
      </c>
      <c r="M8" s="37">
        <f>=IF(B8="","",Scoring!N10)</f>
      </c>
      <c r="N8" s="42">
        <f>=IF(B8="","",INDEX(ZoneGrid,R8,Q8))</f>
      </c>
      <c r="O8" t="s">
        <v>178</v>
      </c>
      <c r="P8" t="s">
        <v>198</v>
      </c>
      <c r="Q8">
        <f>=IF(B8="","",IF(L8&lt;-5,1,IF(L8&lt;0,2,IF(L8&lt;5,3,4))))</f>
      </c>
      <c r="R8">
        <f>=IF(B8="","",IF(M8&gt;5,1,IF(M8&gt;2.5,2,IF(M8&gt;0,3,IF(M8&gt;-2.5,4,IF(M8&gt;-5,5,6))))))</f>
      </c>
    </row>
    <row r="9" spans="1:18" x14ac:dyDescent="0.25">
      <c r="A9">
        <v>8</v>
      </c>
      <c r="B9" t="s">
        <v>199</v>
      </c>
      <c r="C9" t="s">
        <v>199</v>
      </c>
      <c r="D9" t="s">
        <v>2</v>
      </c>
      <c r="E9" t="s">
        <v>32</v>
      </c>
      <c r="F9" t="s">
        <v>172</v>
      </c>
      <c r="G9" t="s">
        <v>173</v>
      </c>
      <c r="H9" t="s">
        <v>174</v>
      </c>
      <c r="I9" t="s">
        <v>200</v>
      </c>
      <c r="J9" t="s">
        <v>201</v>
      </c>
      <c r="K9" t="s">
        <v>182</v>
      </c>
      <c r="L9" s="37">
        <f>=IF(B9="","",Scoring!M11)</f>
      </c>
      <c r="M9" s="37">
        <f>=IF(B9="","",Scoring!N11)</f>
      </c>
      <c r="N9" s="45">
        <f>=IF(B9="","",INDEX(ZoneGrid,R9,Q9))</f>
      </c>
      <c r="O9" t="s">
        <v>178</v>
      </c>
      <c r="P9" t="s">
        <v>202</v>
      </c>
      <c r="Q9">
        <f>=IF(B9="","",IF(L9&lt;-5,1,IF(L9&lt;0,2,IF(L9&lt;5,3,4))))</f>
      </c>
      <c r="R9">
        <f>=IF(B9="","",IF(M9&gt;5,1,IF(M9&gt;2.5,2,IF(M9&gt;0,3,IF(M9&gt;-2.5,4,IF(M9&gt;-5,5,6))))))</f>
      </c>
    </row>
    <row r="10" spans="1:18" x14ac:dyDescent="0.25">
      <c r="A10">
        <v>9</v>
      </c>
      <c r="B10" t="s">
        <v>203</v>
      </c>
      <c r="C10" t="s">
        <v>203</v>
      </c>
      <c r="D10" t="s">
        <v>2</v>
      </c>
      <c r="E10" t="s">
        <v>14</v>
      </c>
      <c r="F10" t="s">
        <v>172</v>
      </c>
      <c r="G10" t="s">
        <v>173</v>
      </c>
      <c r="H10" t="s">
        <v>174</v>
      </c>
      <c r="I10" t="s">
        <v>181</v>
      </c>
      <c r="J10" t="s">
        <v>181</v>
      </c>
      <c r="K10" t="s">
        <v>204</v>
      </c>
      <c r="L10" s="37">
        <f>=IF(B10="","",Scoring!M12)</f>
      </c>
      <c r="M10" s="37">
        <f>=IF(B10="","",Scoring!N12)</f>
      </c>
      <c r="N10" s="46">
        <f>=IF(B10="","",INDEX(ZoneGrid,R10,Q10))</f>
      </c>
      <c r="O10" t="s">
        <v>205</v>
      </c>
      <c r="P10" t="s">
        <v>206</v>
      </c>
      <c r="Q10">
        <f>=IF(B10="","",IF(L10&lt;-5,1,IF(L10&lt;0,2,IF(L10&lt;5,3,4))))</f>
      </c>
      <c r="R10">
        <f>=IF(B10="","",IF(M10&gt;5,1,IF(M10&gt;2.5,2,IF(M10&gt;0,3,IF(M10&gt;-2.5,4,IF(M10&gt;-5,5,6))))))</f>
      </c>
    </row>
    <row r="11" spans="1:18" x14ac:dyDescent="0.25">
      <c r="A11">
        <v>10</v>
      </c>
      <c r="B11" t="s">
        <v>207</v>
      </c>
      <c r="C11" t="s">
        <v>207</v>
      </c>
      <c r="D11" t="s">
        <v>2</v>
      </c>
      <c r="E11" t="s">
        <v>56</v>
      </c>
      <c r="F11" t="s">
        <v>172</v>
      </c>
      <c r="G11" t="s">
        <v>173</v>
      </c>
      <c r="H11" t="s">
        <v>174</v>
      </c>
      <c r="I11" t="s">
        <v>187</v>
      </c>
      <c r="J11" t="s">
        <v>181</v>
      </c>
      <c r="K11" t="s">
        <v>182</v>
      </c>
      <c r="L11" s="37">
        <f>=IF(B11="","",Scoring!M13)</f>
      </c>
      <c r="M11" s="37">
        <f>=IF(B11="","",Scoring!N13)</f>
      </c>
      <c r="N11" s="45">
        <f>=IF(B11="","",INDEX(ZoneGrid,R11,Q11))</f>
      </c>
      <c r="O11" t="s">
        <v>178</v>
      </c>
      <c r="P11" t="s">
        <v>208</v>
      </c>
      <c r="Q11">
        <f>=IF(B11="","",IF(L11&lt;-5,1,IF(L11&lt;0,2,IF(L11&lt;5,3,4))))</f>
      </c>
      <c r="R11">
        <f>=IF(B11="","",IF(M11&gt;5,1,IF(M11&gt;2.5,2,IF(M11&gt;0,3,IF(M11&gt;-2.5,4,IF(M11&gt;-5,5,6))))))</f>
      </c>
    </row>
    <row r="12" spans="1:18" x14ac:dyDescent="0.25">
      <c r="A12">
        <v>11</v>
      </c>
      <c r="B12" t="s">
        <v>209</v>
      </c>
      <c r="C12" t="s">
        <v>209</v>
      </c>
      <c r="D12" t="s">
        <v>7</v>
      </c>
      <c r="E12" t="s">
        <v>13</v>
      </c>
      <c r="F12" t="s">
        <v>172</v>
      </c>
      <c r="G12" t="s">
        <v>173</v>
      </c>
      <c r="H12" t="s">
        <v>174</v>
      </c>
      <c r="I12" t="s">
        <v>181</v>
      </c>
      <c r="J12" t="s">
        <v>181</v>
      </c>
      <c r="K12" t="s">
        <v>177</v>
      </c>
      <c r="L12" s="37">
        <f>=IF(B12="","",Scoring!M14)</f>
      </c>
      <c r="M12" s="37">
        <f>=IF(B12="","",Scoring!N14)</f>
      </c>
      <c r="N12" s="43">
        <f>=IF(B12="","",INDEX(ZoneGrid,R12,Q12))</f>
      </c>
      <c r="O12" t="s">
        <v>178</v>
      </c>
      <c r="P12" t="s">
        <v>210</v>
      </c>
      <c r="Q12">
        <f>=IF(B12="","",IF(L12&lt;-5,1,IF(L12&lt;0,2,IF(L12&lt;5,3,4))))</f>
      </c>
      <c r="R12">
        <f>=IF(B12="","",IF(M12&gt;5,1,IF(M12&gt;2.5,2,IF(M12&gt;0,3,IF(M12&gt;-2.5,4,IF(M12&gt;-5,5,6))))))</f>
      </c>
    </row>
    <row r="13" spans="1:18" x14ac:dyDescent="0.25">
      <c r="A13">
        <v>12</v>
      </c>
      <c r="B13" t="s">
        <v>211</v>
      </c>
      <c r="C13" t="s">
        <v>211</v>
      </c>
      <c r="D13" t="s">
        <v>7</v>
      </c>
      <c r="E13" t="s">
        <v>25</v>
      </c>
      <c r="F13" t="s">
        <v>172</v>
      </c>
      <c r="G13" t="s">
        <v>173</v>
      </c>
      <c r="H13" t="s">
        <v>212</v>
      </c>
      <c r="I13" t="s">
        <v>181</v>
      </c>
      <c r="J13" t="s">
        <v>181</v>
      </c>
      <c r="K13" t="s">
        <v>177</v>
      </c>
      <c r="L13" s="37">
        <f>=IF(B13="","",Scoring!M15)</f>
      </c>
      <c r="M13" s="37">
        <f>=IF(B13="","",Scoring!N15)</f>
      </c>
      <c r="N13" s="44">
        <f>=IF(B13="","",INDEX(ZoneGrid,R13,Q13))</f>
      </c>
      <c r="O13" t="s">
        <v>195</v>
      </c>
      <c r="P13" t="s">
        <v>213</v>
      </c>
      <c r="Q13">
        <f>=IF(B13="","",IF(L13&lt;-5,1,IF(L13&lt;0,2,IF(L13&lt;5,3,4))))</f>
      </c>
      <c r="R13">
        <f>=IF(B13="","",IF(M13&gt;5,1,IF(M13&gt;2.5,2,IF(M13&gt;0,3,IF(M13&gt;-2.5,4,IF(M13&gt;-5,5,6))))))</f>
      </c>
    </row>
    <row r="14" spans="1:18" x14ac:dyDescent="0.25">
      <c r="A14">
        <v>13</v>
      </c>
      <c r="B14" t="s">
        <v>214</v>
      </c>
      <c r="C14" t="s">
        <v>214</v>
      </c>
      <c r="D14" t="s">
        <v>5</v>
      </c>
      <c r="E14" t="s">
        <v>29</v>
      </c>
      <c r="F14" t="s">
        <v>172</v>
      </c>
      <c r="G14" t="s">
        <v>173</v>
      </c>
      <c r="H14" t="s">
        <v>212</v>
      </c>
      <c r="I14" t="s">
        <v>181</v>
      </c>
      <c r="J14" t="s">
        <v>181</v>
      </c>
      <c r="K14" t="s">
        <v>182</v>
      </c>
      <c r="L14" s="37">
        <f>=IF(B14="","",Scoring!M16)</f>
      </c>
      <c r="M14" s="37">
        <f>=IF(B14="","",Scoring!N16)</f>
      </c>
      <c r="N14" s="45">
        <f>=IF(B14="","",INDEX(ZoneGrid,R14,Q14))</f>
      </c>
      <c r="O14" t="s">
        <v>178</v>
      </c>
      <c r="P14" t="s">
        <v>215</v>
      </c>
      <c r="Q14">
        <f>=IF(B14="","",IF(L14&lt;-5,1,IF(L14&lt;0,2,IF(L14&lt;5,3,4))))</f>
      </c>
      <c r="R14">
        <f>=IF(B14="","",IF(M14&gt;5,1,IF(M14&gt;2.5,2,IF(M14&gt;0,3,IF(M14&gt;-2.5,4,IF(M14&gt;-5,5,6))))))</f>
      </c>
    </row>
    <row r="15" spans="1:18" x14ac:dyDescent="0.25">
      <c r="A15">
        <v>14</v>
      </c>
      <c r="B15" t="s">
        <v>216</v>
      </c>
      <c r="C15" t="s">
        <v>217</v>
      </c>
      <c r="D15" t="s">
        <v>4</v>
      </c>
      <c r="E15" t="s">
        <v>22</v>
      </c>
      <c r="F15" t="s">
        <v>172</v>
      </c>
      <c r="G15" t="s">
        <v>173</v>
      </c>
      <c r="H15" t="s">
        <v>212</v>
      </c>
      <c r="I15" t="s">
        <v>181</v>
      </c>
      <c r="J15" t="s">
        <v>181</v>
      </c>
      <c r="K15" t="s">
        <v>177</v>
      </c>
      <c r="L15" s="37">
        <f>=IF(B15="","",Scoring!M17)</f>
      </c>
      <c r="M15" s="37">
        <f>=IF(B15="","",Scoring!N17)</f>
      </c>
      <c r="N15" s="43">
        <f>=IF(B15="","",INDEX(ZoneGrid,R15,Q15))</f>
      </c>
      <c r="O15" t="s">
        <v>178</v>
      </c>
      <c r="P15" t="s">
        <v>218</v>
      </c>
      <c r="Q15">
        <f>=IF(B15="","",IF(L15&lt;-5,1,IF(L15&lt;0,2,IF(L15&lt;5,3,4))))</f>
      </c>
      <c r="R15">
        <f>=IF(B15="","",IF(M15&gt;5,1,IF(M15&gt;2.5,2,IF(M15&gt;0,3,IF(M15&gt;-2.5,4,IF(M15&gt;-5,5,6))))))</f>
      </c>
    </row>
    <row r="16" spans="1:18" x14ac:dyDescent="0.25">
      <c r="A16">
        <v>15</v>
      </c>
      <c r="B16" t="s">
        <v>219</v>
      </c>
      <c r="C16" t="s">
        <v>219</v>
      </c>
      <c r="D16" t="s">
        <v>2</v>
      </c>
      <c r="E16" t="s">
        <v>54</v>
      </c>
      <c r="F16" t="s">
        <v>172</v>
      </c>
      <c r="G16" t="s">
        <v>173</v>
      </c>
      <c r="H16" t="s">
        <v>192</v>
      </c>
      <c r="I16" t="s">
        <v>181</v>
      </c>
      <c r="J16" t="s">
        <v>181</v>
      </c>
      <c r="K16" t="s">
        <v>177</v>
      </c>
      <c r="L16" s="37">
        <f>=IF(B16="","",Scoring!M18)</f>
      </c>
      <c r="M16" s="37">
        <f>=IF(B16="","",Scoring!N18)</f>
      </c>
      <c r="N16" s="40">
        <f>=IF(B16="","",INDEX(ZoneGrid,R16,Q16))</f>
      </c>
      <c r="O16" t="s">
        <v>178</v>
      </c>
      <c r="P16" t="s">
        <v>220</v>
      </c>
      <c r="Q16">
        <f>=IF(B16="","",IF(L16&lt;-5,1,IF(L16&lt;0,2,IF(L16&lt;5,3,4))))</f>
      </c>
      <c r="R16">
        <f>=IF(B16="","",IF(M16&gt;5,1,IF(M16&gt;2.5,2,IF(M16&gt;0,3,IF(M16&gt;-2.5,4,IF(M16&gt;-5,5,6))))))</f>
      </c>
    </row>
    <row r="17" spans="1:18" x14ac:dyDescent="0.25">
      <c r="A17">
        <v>16</v>
      </c>
      <c r="B17" t="s">
        <v>221</v>
      </c>
      <c r="C17" t="s">
        <v>222</v>
      </c>
      <c r="D17" t="s">
        <v>3</v>
      </c>
      <c r="E17" t="s">
        <v>37</v>
      </c>
      <c r="F17" t="s">
        <v>172</v>
      </c>
      <c r="G17" t="s">
        <v>173</v>
      </c>
      <c r="H17" t="s">
        <v>174</v>
      </c>
      <c r="I17" t="s">
        <v>223</v>
      </c>
      <c r="J17" t="s">
        <v>224</v>
      </c>
      <c r="K17" t="s">
        <v>182</v>
      </c>
      <c r="L17" s="37">
        <f>=IF(B17="","",Scoring!M19)</f>
      </c>
      <c r="M17" s="37">
        <f>=IF(B17="","",Scoring!N19)</f>
      </c>
      <c r="N17" s="40">
        <f>=IF(B17="","",INDEX(ZoneGrid,R17,Q17))</f>
      </c>
      <c r="O17" t="s">
        <v>178</v>
      </c>
      <c r="P17" t="s">
        <v>225</v>
      </c>
      <c r="Q17">
        <f>=IF(B17="","",IF(L17&lt;-5,1,IF(L17&lt;0,2,IF(L17&lt;5,3,4))))</f>
      </c>
      <c r="R17">
        <f>=IF(B17="","",IF(M17&gt;5,1,IF(M17&gt;2.5,2,IF(M17&gt;0,3,IF(M17&gt;-2.5,4,IF(M17&gt;-5,5,6))))))</f>
      </c>
    </row>
    <row r="18" spans="1:18" x14ac:dyDescent="0.25">
      <c r="A18">
        <v>17</v>
      </c>
      <c r="B18" t="s">
        <v>226</v>
      </c>
      <c r="C18" t="s">
        <v>226</v>
      </c>
      <c r="D18" t="s">
        <v>3</v>
      </c>
      <c r="E18" t="s">
        <v>52</v>
      </c>
      <c r="F18" t="s">
        <v>227</v>
      </c>
      <c r="G18" t="s">
        <v>228</v>
      </c>
      <c r="H18" t="s">
        <v>212</v>
      </c>
      <c r="I18" t="s">
        <v>181</v>
      </c>
      <c r="J18" t="s">
        <v>181</v>
      </c>
      <c r="K18" t="s">
        <v>177</v>
      </c>
      <c r="L18" s="37">
        <f>=IF(B18="","",Scoring!M20)</f>
      </c>
      <c r="M18" s="37">
        <f>=IF(B18="","",Scoring!N20)</f>
      </c>
      <c r="N18" s="42">
        <f>=IF(B18="","",INDEX(ZoneGrid,R18,Q18))</f>
      </c>
      <c r="O18" t="s">
        <v>178</v>
      </c>
      <c r="P18" t="s">
        <v>229</v>
      </c>
      <c r="Q18">
        <f>=IF(B18="","",IF(L18&lt;-5,1,IF(L18&lt;0,2,IF(L18&lt;5,3,4))))</f>
      </c>
      <c r="R18">
        <f>=IF(B18="","",IF(M18&gt;5,1,IF(M18&gt;2.5,2,IF(M18&gt;0,3,IF(M18&gt;-2.5,4,IF(M18&gt;-5,5,6))))))</f>
      </c>
    </row>
    <row r="19" spans="1:18" x14ac:dyDescent="0.25">
      <c r="A19">
        <v>18</v>
      </c>
      <c r="B19" t="s">
        <v>230</v>
      </c>
      <c r="C19" t="s">
        <v>230</v>
      </c>
      <c r="D19" t="s">
        <v>2</v>
      </c>
      <c r="E19" t="s">
        <v>51</v>
      </c>
      <c r="F19" t="s">
        <v>227</v>
      </c>
      <c r="G19" t="s">
        <v>228</v>
      </c>
      <c r="H19" t="s">
        <v>212</v>
      </c>
      <c r="I19" t="s">
        <v>181</v>
      </c>
      <c r="J19" t="s">
        <v>181</v>
      </c>
      <c r="K19" t="s">
        <v>182</v>
      </c>
      <c r="L19" s="37">
        <f>=IF(B19="","",Scoring!M21)</f>
      </c>
      <c r="M19" s="37">
        <f>=IF(B19="","",Scoring!N21)</f>
      </c>
      <c r="N19" s="47">
        <f>=IF(B19="","",INDEX(ZoneGrid,R19,Q19))</f>
      </c>
      <c r="O19" t="s">
        <v>178</v>
      </c>
      <c r="P19" t="s">
        <v>231</v>
      </c>
      <c r="Q19">
        <f>=IF(B19="","",IF(L19&lt;-5,1,IF(L19&lt;0,2,IF(L19&lt;5,3,4))))</f>
      </c>
      <c r="R19">
        <f>=IF(B19="","",IF(M19&gt;5,1,IF(M19&gt;2.5,2,IF(M19&gt;0,3,IF(M19&gt;-2.5,4,IF(M19&gt;-5,5,6))))))</f>
      </c>
    </row>
    <row r="20" spans="1:18" x14ac:dyDescent="0.25">
      <c r="A20">
        <v>19</v>
      </c>
      <c r="B20" t="s">
        <v>232</v>
      </c>
      <c r="C20" t="s">
        <v>232</v>
      </c>
      <c r="D20" t="s">
        <v>5</v>
      </c>
      <c r="E20" t="s">
        <v>23</v>
      </c>
      <c r="F20" t="s">
        <v>227</v>
      </c>
      <c r="G20" t="s">
        <v>228</v>
      </c>
      <c r="H20" t="s">
        <v>212</v>
      </c>
      <c r="I20" t="s">
        <v>181</v>
      </c>
      <c r="J20" t="s">
        <v>181</v>
      </c>
      <c r="K20" t="s">
        <v>177</v>
      </c>
      <c r="L20" s="37">
        <f>=IF(B20="","",Scoring!M22)</f>
      </c>
      <c r="M20" s="37">
        <f>=IF(B20="","",Scoring!N22)</f>
      </c>
      <c r="N20" s="43">
        <f>=IF(B20="","",INDEX(ZoneGrid,R20,Q20))</f>
      </c>
      <c r="O20" t="s">
        <v>178</v>
      </c>
      <c r="P20" t="s">
        <v>233</v>
      </c>
      <c r="Q20">
        <f>=IF(B20="","",IF(L20&lt;-5,1,IF(L20&lt;0,2,IF(L20&lt;5,3,4))))</f>
      </c>
      <c r="R20">
        <f>=IF(B20="","",IF(M20&gt;5,1,IF(M20&gt;2.5,2,IF(M20&gt;0,3,IF(M20&gt;-2.5,4,IF(M20&gt;-5,5,6))))))</f>
      </c>
    </row>
    <row r="21" spans="1:18" x14ac:dyDescent="0.25">
      <c r="A21">
        <v>20</v>
      </c>
      <c r="B21" t="s">
        <v>234</v>
      </c>
      <c r="C21" t="s">
        <v>234</v>
      </c>
      <c r="D21" t="s">
        <v>2</v>
      </c>
      <c r="E21" t="s">
        <v>51</v>
      </c>
      <c r="F21" t="s">
        <v>235</v>
      </c>
      <c r="G21" t="s">
        <v>236</v>
      </c>
      <c r="H21" t="s">
        <v>212</v>
      </c>
      <c r="I21" t="s">
        <v>181</v>
      </c>
      <c r="J21" t="s">
        <v>181</v>
      </c>
      <c r="K21" t="s">
        <v>182</v>
      </c>
      <c r="L21" s="37">
        <f>=IF(B21="","",Scoring!M23)</f>
      </c>
      <c r="M21" s="37">
        <f>=IF(B21="","",Scoring!N23)</f>
      </c>
      <c r="N21" s="45">
        <f>=IF(B21="","",INDEX(ZoneGrid,R21,Q21))</f>
      </c>
      <c r="O21" t="s">
        <v>178</v>
      </c>
      <c r="P21" t="s">
        <v>237</v>
      </c>
      <c r="Q21">
        <f>=IF(B21="","",IF(L21&lt;-5,1,IF(L21&lt;0,2,IF(L21&lt;5,3,4))))</f>
      </c>
      <c r="R21">
        <f>=IF(B21="","",IF(M21&gt;5,1,IF(M21&gt;2.5,2,IF(M21&gt;0,3,IF(M21&gt;-2.5,4,IF(M21&gt;-5,5,6))))))</f>
      </c>
    </row>
    <row r="22" spans="1:18" x14ac:dyDescent="0.25">
      <c r="A22">
        <v>21</v>
      </c>
      <c r="L22" s="37">
        <f>=IF(B22="","",Scoring!M24)</f>
      </c>
      <c r="M22" s="37">
        <f>=IF(B22="","",Scoring!N24)</f>
      </c>
      <c r="N22">
        <f>=IF(B22="","",INDEX(ZoneGrid,R22,Q22))</f>
      </c>
      <c r="Q22">
        <f>=IF(B22="","",IF(L22&lt;-5,1,IF(L22&lt;0,2,IF(L22&lt;5,3,4))))</f>
      </c>
      <c r="R22">
        <f>=IF(B22="","",IF(M22&gt;5,1,IF(M22&gt;2.5,2,IF(M22&gt;0,3,IF(M22&gt;-2.5,4,IF(M22&gt;-5,5,6))))))</f>
      </c>
    </row>
    <row r="23" spans="1:18" x14ac:dyDescent="0.25">
      <c r="A23">
        <v>22</v>
      </c>
      <c r="L23" s="37">
        <f>=IF(B23="","",Scoring!M25)</f>
      </c>
      <c r="M23" s="37">
        <f>=IF(B23="","",Scoring!N25)</f>
      </c>
      <c r="N23">
        <f>=IF(B23="","",INDEX(ZoneGrid,R23,Q23))</f>
      </c>
      <c r="Q23">
        <f>=IF(B23="","",IF(L23&lt;-5,1,IF(L23&lt;0,2,IF(L23&lt;5,3,4))))</f>
      </c>
      <c r="R23">
        <f>=IF(B23="","",IF(M23&gt;5,1,IF(M23&gt;2.5,2,IF(M23&gt;0,3,IF(M23&gt;-2.5,4,IF(M23&gt;-5,5,6))))))</f>
      </c>
    </row>
    <row r="24" spans="1:18" x14ac:dyDescent="0.25">
      <c r="A24">
        <v>23</v>
      </c>
      <c r="L24" s="37">
        <f>=IF(B24="","",Scoring!M26)</f>
      </c>
      <c r="M24" s="37">
        <f>=IF(B24="","",Scoring!N26)</f>
      </c>
      <c r="N24">
        <f>=IF(B24="","",INDEX(ZoneGrid,R24,Q24))</f>
      </c>
      <c r="Q24">
        <f>=IF(B24="","",IF(L24&lt;-5,1,IF(L24&lt;0,2,IF(L24&lt;5,3,4))))</f>
      </c>
      <c r="R24">
        <f>=IF(B24="","",IF(M24&gt;5,1,IF(M24&gt;2.5,2,IF(M24&gt;0,3,IF(M24&gt;-2.5,4,IF(M24&gt;-5,5,6))))))</f>
      </c>
    </row>
    <row r="25" spans="1:18" x14ac:dyDescent="0.25">
      <c r="A25">
        <v>24</v>
      </c>
      <c r="L25" s="37">
        <f>=IF(B25="","",Scoring!M27)</f>
      </c>
      <c r="M25" s="37">
        <f>=IF(B25="","",Scoring!N27)</f>
      </c>
      <c r="N25">
        <f>=IF(B25="","",INDEX(ZoneGrid,R25,Q25))</f>
      </c>
      <c r="Q25">
        <f>=IF(B25="","",IF(L25&lt;-5,1,IF(L25&lt;0,2,IF(L25&lt;5,3,4))))</f>
      </c>
      <c r="R25">
        <f>=IF(B25="","",IF(M25&gt;5,1,IF(M25&gt;2.5,2,IF(M25&gt;0,3,IF(M25&gt;-2.5,4,IF(M25&gt;-5,5,6))))))</f>
      </c>
    </row>
    <row r="26" spans="1:18" x14ac:dyDescent="0.25">
      <c r="A26">
        <v>25</v>
      </c>
      <c r="L26" s="37">
        <f>=IF(B26="","",Scoring!M28)</f>
      </c>
      <c r="M26" s="37">
        <f>=IF(B26="","",Scoring!N28)</f>
      </c>
      <c r="N26">
        <f>=IF(B26="","",INDEX(ZoneGrid,R26,Q26))</f>
      </c>
      <c r="Q26">
        <f>=IF(B26="","",IF(L26&lt;-5,1,IF(L26&lt;0,2,IF(L26&lt;5,3,4))))</f>
      </c>
      <c r="R26">
        <f>=IF(B26="","",IF(M26&gt;5,1,IF(M26&gt;2.5,2,IF(M26&gt;0,3,IF(M26&gt;-2.5,4,IF(M26&gt;-5,5,6))))))</f>
      </c>
    </row>
    <row r="27" spans="1:18" x14ac:dyDescent="0.25">
      <c r="A27">
        <v>26</v>
      </c>
      <c r="L27" s="37">
        <f>=IF(B27="","",Scoring!M29)</f>
      </c>
      <c r="M27" s="37">
        <f>=IF(B27="","",Scoring!N29)</f>
      </c>
      <c r="N27">
        <f>=IF(B27="","",INDEX(ZoneGrid,R27,Q27))</f>
      </c>
      <c r="Q27">
        <f>=IF(B27="","",IF(L27&lt;-5,1,IF(L27&lt;0,2,IF(L27&lt;5,3,4))))</f>
      </c>
      <c r="R27">
        <f>=IF(B27="","",IF(M27&gt;5,1,IF(M27&gt;2.5,2,IF(M27&gt;0,3,IF(M27&gt;-2.5,4,IF(M27&gt;-5,5,6))))))</f>
      </c>
    </row>
    <row r="28" spans="1:18" x14ac:dyDescent="0.25">
      <c r="A28">
        <v>27</v>
      </c>
      <c r="L28" s="37">
        <f>=IF(B28="","",Scoring!M30)</f>
      </c>
      <c r="M28" s="37">
        <f>=IF(B28="","",Scoring!N30)</f>
      </c>
      <c r="N28">
        <f>=IF(B28="","",INDEX(ZoneGrid,R28,Q28))</f>
      </c>
      <c r="Q28">
        <f>=IF(B28="","",IF(L28&lt;-5,1,IF(L28&lt;0,2,IF(L28&lt;5,3,4))))</f>
      </c>
      <c r="R28">
        <f>=IF(B28="","",IF(M28&gt;5,1,IF(M28&gt;2.5,2,IF(M28&gt;0,3,IF(M28&gt;-2.5,4,IF(M28&gt;-5,5,6))))))</f>
      </c>
    </row>
    <row r="29" spans="1:18" x14ac:dyDescent="0.25">
      <c r="A29">
        <v>28</v>
      </c>
      <c r="L29" s="37">
        <f>=IF(B29="","",Scoring!M31)</f>
      </c>
      <c r="M29" s="37">
        <f>=IF(B29="","",Scoring!N31)</f>
      </c>
      <c r="N29">
        <f>=IF(B29="","",INDEX(ZoneGrid,R29,Q29))</f>
      </c>
      <c r="Q29">
        <f>=IF(B29="","",IF(L29&lt;-5,1,IF(L29&lt;0,2,IF(L29&lt;5,3,4))))</f>
      </c>
      <c r="R29">
        <f>=IF(B29="","",IF(M29&gt;5,1,IF(M29&gt;2.5,2,IF(M29&gt;0,3,IF(M29&gt;-2.5,4,IF(M29&gt;-5,5,6))))))</f>
      </c>
    </row>
    <row r="30" spans="1:18" x14ac:dyDescent="0.25">
      <c r="A30">
        <v>29</v>
      </c>
      <c r="L30" s="37">
        <f>=IF(B30="","",Scoring!M32)</f>
      </c>
      <c r="M30" s="37">
        <f>=IF(B30="","",Scoring!N32)</f>
      </c>
      <c r="N30">
        <f>=IF(B30="","",INDEX(ZoneGrid,R30,Q30))</f>
      </c>
      <c r="Q30">
        <f>=IF(B30="","",IF(L30&lt;-5,1,IF(L30&lt;0,2,IF(L30&lt;5,3,4))))</f>
      </c>
      <c r="R30">
        <f>=IF(B30="","",IF(M30&gt;5,1,IF(M30&gt;2.5,2,IF(M30&gt;0,3,IF(M30&gt;-2.5,4,IF(M30&gt;-5,5,6))))))</f>
      </c>
    </row>
    <row r="31" spans="1:18" x14ac:dyDescent="0.25">
      <c r="A31">
        <v>30</v>
      </c>
      <c r="L31" s="37">
        <f>=IF(B31="","",Scoring!M33)</f>
      </c>
      <c r="M31" s="37">
        <f>=IF(B31="","",Scoring!N33)</f>
      </c>
      <c r="N31">
        <f>=IF(B31="","",INDEX(ZoneGrid,R31,Q31))</f>
      </c>
      <c r="Q31">
        <f>=IF(B31="","",IF(L31&lt;-5,1,IF(L31&lt;0,2,IF(L31&lt;5,3,4))))</f>
      </c>
      <c r="R31">
        <f>=IF(B31="","",IF(M31&gt;5,1,IF(M31&gt;2.5,2,IF(M31&gt;0,3,IF(M31&gt;-2.5,4,IF(M31&gt;-5,5,6))))))</f>
      </c>
    </row>
  </sheetData>
  <conditionalFormatting sqref="N2:N31">
    <cfRule type="expression" dxfId="0" priority="1">
      <formula>$N2="Proactively Defend"</formula>
    </cfRule>
    <cfRule type="expression" dxfId="1" priority="2">
      <formula>$N2="Defend"</formula>
    </cfRule>
    <cfRule type="expression" dxfId="2" priority="3">
      <formula>$N2="Protect"</formula>
    </cfRule>
    <cfRule type="expression" dxfId="3" priority="4">
      <formula>$N2="Respond"</formula>
    </cfRule>
    <cfRule type="expression" dxfId="4" priority="5">
      <formula>$N2="Identify"</formula>
    </cfRule>
    <cfRule type="expression" dxfId="5" priority="6">
      <formula>$N2="Monitor"</formula>
    </cfRule>
    <cfRule type="expression" dxfId="6" priority="7">
      <formula>$N2="Maintain"</formula>
    </cfRule>
    <cfRule type="expression" dxfId="7" priority="8">
      <formula>$N2="Connect"</formula>
    </cfRule>
    <cfRule type="expression" dxfId="8" priority="9">
      <formula>$N2="Commit"</formula>
    </cfRule>
    <cfRule type="expression" dxfId="9" priority="10">
      <formula>$N2="Cooperate"</formula>
    </cfRule>
    <cfRule type="expression" dxfId="10" priority="11">
      <formula>$N2="Collaborate"</formula>
    </cfRule>
    <cfRule type="expression" dxfId="11" priority="12">
      <formula>$N2="Valuable Relationship"</formula>
    </cfRule>
    <cfRule type="expression" dxfId="12" priority="13">
      <formula>$N2="High Value Relationship"</formula>
    </cfRule>
    <cfRule type="expression" dxfId="13" priority="14">
      <formula>$N2="Strategic Partner"</formula>
    </cfRule>
  </conditionalFormatting>
  <dataValidations count="42">
    <dataValidation type="list" allowBlank="1" sqref="D10:D31">
      <formula1>CategoryList</formula1>
    </dataValidation>
    <dataValidation type="list" allowBlank="1" sqref="D2:D31">
      <formula1>CategoryList</formula1>
    </dataValidation>
    <dataValidation type="list" allowBlank="1" sqref="E10">
      <formula1>INDIRECT(SUBSTITUTE($D10," ","_"))</formula1>
    </dataValidation>
    <dataValidation type="list" allowBlank="1" sqref="E11">
      <formula1>INDIRECT(SUBSTITUTE($D11," ","_"))</formula1>
    </dataValidation>
    <dataValidation type="list" allowBlank="1" sqref="E12">
      <formula1>INDIRECT(SUBSTITUTE($D12," ","_"))</formula1>
    </dataValidation>
    <dataValidation type="list" allowBlank="1" sqref="E13">
      <formula1>INDIRECT(SUBSTITUTE($D13," ","_"))</formula1>
    </dataValidation>
    <dataValidation type="list" allowBlank="1" sqref="E14">
      <formula1>INDIRECT(SUBSTITUTE($D14," ","_"))</formula1>
    </dataValidation>
    <dataValidation type="list" allowBlank="1" sqref="E15">
      <formula1>INDIRECT(SUBSTITUTE($D15," ","_"))</formula1>
    </dataValidation>
    <dataValidation type="list" allowBlank="1" sqref="E16">
      <formula1>INDIRECT(SUBSTITUTE($D16," ","_"))</formula1>
    </dataValidation>
    <dataValidation type="list" allowBlank="1" sqref="E17">
      <formula1>INDIRECT(SUBSTITUTE($D17," ","_"))</formula1>
    </dataValidation>
    <dataValidation type="list" allowBlank="1" sqref="E18">
      <formula1>INDIRECT(SUBSTITUTE($D18," ","_"))</formula1>
    </dataValidation>
    <dataValidation type="list" allowBlank="1" sqref="E19">
      <formula1>INDIRECT(SUBSTITUTE($D19," ","_"))</formula1>
    </dataValidation>
    <dataValidation type="list" allowBlank="1" sqref="E2">
      <formula1>INDIRECT(SUBSTITUTE($D2," ","_"))</formula1>
    </dataValidation>
    <dataValidation type="list" allowBlank="1" sqref="E20">
      <formula1>INDIRECT(SUBSTITUTE($D20," ","_"))</formula1>
    </dataValidation>
    <dataValidation type="list" allowBlank="1" sqref="E21">
      <formula1>INDIRECT(SUBSTITUTE($D21," ","_"))</formula1>
    </dataValidation>
    <dataValidation type="list" allowBlank="1" sqref="E22">
      <formula1>INDIRECT(SUBSTITUTE($D22," ","_"))</formula1>
    </dataValidation>
    <dataValidation type="list" allowBlank="1" sqref="E23">
      <formula1>INDIRECT(SUBSTITUTE($D23," ","_"))</formula1>
    </dataValidation>
    <dataValidation type="list" allowBlank="1" sqref="E24">
      <formula1>INDIRECT(SUBSTITUTE($D24," ","_"))</formula1>
    </dataValidation>
    <dataValidation type="list" allowBlank="1" sqref="E25">
      <formula1>INDIRECT(SUBSTITUTE($D25," ","_"))</formula1>
    </dataValidation>
    <dataValidation type="list" allowBlank="1" sqref="E26">
      <formula1>INDIRECT(SUBSTITUTE($D26," ","_"))</formula1>
    </dataValidation>
    <dataValidation type="list" allowBlank="1" sqref="E27">
      <formula1>INDIRECT(SUBSTITUTE($D27," ","_"))</formula1>
    </dataValidation>
    <dataValidation type="list" allowBlank="1" sqref="E28">
      <formula1>INDIRECT(SUBSTITUTE($D28," ","_"))</formula1>
    </dataValidation>
    <dataValidation type="list" allowBlank="1" sqref="E29">
      <formula1>INDIRECT(SUBSTITUTE($D29," ","_"))</formula1>
    </dataValidation>
    <dataValidation type="list" allowBlank="1" sqref="E3">
      <formula1>INDIRECT(SUBSTITUTE($D3," ","_"))</formula1>
    </dataValidation>
    <dataValidation type="list" allowBlank="1" sqref="E30">
      <formula1>INDIRECT(SUBSTITUTE($D30," ","_"))</formula1>
    </dataValidation>
    <dataValidation type="list" allowBlank="1" sqref="E31">
      <formula1>INDIRECT(SUBSTITUTE($D31," ","_"))</formula1>
    </dataValidation>
    <dataValidation type="list" allowBlank="1" sqref="E4">
      <formula1>INDIRECT(SUBSTITUTE($D4," ","_"))</formula1>
    </dataValidation>
    <dataValidation type="list" allowBlank="1" sqref="E5">
      <formula1>INDIRECT(SUBSTITUTE($D5," ","_"))</formula1>
    </dataValidation>
    <dataValidation type="list" allowBlank="1" sqref="E6">
      <formula1>INDIRECT(SUBSTITUTE($D6," ","_"))</formula1>
    </dataValidation>
    <dataValidation type="list" allowBlank="1" sqref="E7">
      <formula1>INDIRECT(SUBSTITUTE($D7," ","_"))</formula1>
    </dataValidation>
    <dataValidation type="list" allowBlank="1" sqref="E8">
      <formula1>INDIRECT(SUBSTITUTE($D8," ","_"))</formula1>
    </dataValidation>
    <dataValidation type="list" allowBlank="1" sqref="E9">
      <formula1>INDIRECT(SUBSTITUTE($D9," ","_"))</formula1>
    </dataValidation>
    <dataValidation type="list" allowBlank="1" sqref="F10:F31">
      <formula1>Markets</formula1>
    </dataValidation>
    <dataValidation type="list" allowBlank="1" sqref="F2:F31">
      <formula1>Markets</formula1>
    </dataValidation>
    <dataValidation type="list" allowBlank="1" sqref="G10:G31">
      <formula1>Regions</formula1>
    </dataValidation>
    <dataValidation type="list" allowBlank="1" sqref="G2:G31">
      <formula1>Regions</formula1>
    </dataValidation>
    <dataValidation type="list" allowBlank="1" sqref="H10:H31">
      <formula1>Geographies</formula1>
    </dataValidation>
    <dataValidation type="list" allowBlank="1" sqref="H2:H31">
      <formula1>Geographies</formula1>
    </dataValidation>
    <dataValidation type="list" allowBlank="1" sqref="K10:K31">
      <formula1>Priorities</formula1>
    </dataValidation>
    <dataValidation type="list" allowBlank="1" sqref="K2:K31">
      <formula1>Priorities</formula1>
    </dataValidation>
    <dataValidation type="list" allowBlank="1" sqref="O10:O31">
      <formula1>Statuses</formula1>
    </dataValidation>
    <dataValidation type="list" allowBlank="1" sqref="O2:O31">
      <formula1>Statuses</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4"/>
  <sheetFormatPr defaultRowHeight="15" outlineLevelRow="0" outlineLevelCol="0" x14ac:dyDescent="55"/>
  <cols>
    <col min="1" max="1" width="4" customWidth="1"/>
    <col min="2" max="2" width="11" customWidth="1"/>
    <col min="3" max="6" width="22" customWidth="1"/>
    <col min="8" max="8" width="26" customWidth="1"/>
    <col min="9" max="10" width="6" customWidth="1"/>
    <col min="11" max="11" width="20" customWidth="1"/>
    <col min="12" max="12" width="60" customWidth="1"/>
  </cols>
  <sheetData>
    <row r="1" spans="1:1" x14ac:dyDescent="0.25">
      <c r="A1" s="48" t="s">
        <v>238</v>
      </c>
    </row>
    <row r="3" spans="3:6" x14ac:dyDescent="0.25">
      <c r="C3" s="49" t="s">
        <v>239</v>
      </c>
      <c r="D3" s="49"/>
      <c r="E3" s="49"/>
      <c r="F3" s="49"/>
    </row>
    <row r="4" spans="3:12" x14ac:dyDescent="0.25">
      <c r="C4" s="50" t="s">
        <v>240</v>
      </c>
      <c r="D4" s="50" t="s">
        <v>241</v>
      </c>
      <c r="E4" s="50" t="s">
        <v>242</v>
      </c>
      <c r="F4" s="50" t="s">
        <v>243</v>
      </c>
      <c r="H4" s="17" t="s">
        <v>153</v>
      </c>
      <c r="I4" s="17" t="s">
        <v>154</v>
      </c>
      <c r="J4" s="17" t="s">
        <v>155</v>
      </c>
      <c r="K4" s="17" t="s">
        <v>165</v>
      </c>
      <c r="L4" s="17" t="s">
        <v>244</v>
      </c>
    </row>
    <row r="5" ht="54" customHeight="1" spans="1:12" x14ac:dyDescent="0.25">
      <c r="A5" s="51" t="s">
        <v>245</v>
      </c>
      <c r="B5" s="52" t="s">
        <v>246</v>
      </c>
      <c r="C5" s="53">
        <f>="Proactively Defend"&amp;IF(TEXTJOIN(CHAR(10),TRUE,IF((Workspace!$Q$2:$Q$31=1)*(Workspace!$R$2:$R$31=1),Workspace!$B$2:$B$31,""))="","",CHAR(10)&amp;TEXTJOIN(CHAR(10),TRUE,IF((Workspace!$Q$2:$Q$31=1)*(Workspace!$R$2:$R$31=1),Workspace!$B$2:$B$31,"")))</f>
      </c>
      <c r="D5" s="54">
        <f>="Defend"&amp;IF(TEXTJOIN(CHAR(10),TRUE,IF((Workspace!$Q$2:$Q$31=2)*(Workspace!$R$2:$R$31=1),Workspace!$B$2:$B$31,""))="","",CHAR(10)&amp;TEXTJOIN(CHAR(10),TRUE,IF((Workspace!$Q$2:$Q$31=2)*(Workspace!$R$2:$R$31=1),Workspace!$B$2:$B$31,"")))</f>
      </c>
      <c r="E5" s="55">
        <f>="Valuable Relationship"&amp;IF(TEXTJOIN(CHAR(10),TRUE,IF((Workspace!$Q$2:$Q$31=3)*(Workspace!$R$2:$R$31=1),Workspace!$B$2:$B$31,""))="","",CHAR(10)&amp;TEXTJOIN(CHAR(10),TRUE,IF((Workspace!$Q$2:$Q$31=3)*(Workspace!$R$2:$R$31=1),Workspace!$B$2:$B$31,"")))</f>
      </c>
      <c r="F5" s="56">
        <f>="Strategic Partner"&amp;IF(TEXTJOIN(CHAR(10),TRUE,IF((Workspace!$Q$2:$Q$31=4)*(Workspace!$R$2:$R$31=1),Workspace!$B$2:$B$31,""))="","",CHAR(10)&amp;TEXTJOIN(CHAR(10),TRUE,IF((Workspace!$Q$2:$Q$31=4)*(Workspace!$R$2:$R$31=1),Workspace!$B$2:$B$31,"")))</f>
      </c>
      <c r="H5">
        <f>=IF(Workspace!B2="","",Workspace!B2)</f>
      </c>
      <c r="I5" s="37">
        <f>=IF(Workspace!B2="","",Workspace!L2)</f>
      </c>
      <c r="J5" s="37">
        <f>=IF(Workspace!B2="","",Workspace!M2)</f>
      </c>
      <c r="K5">
        <f>=IF(Workspace!B2="","",Workspace!N2)</f>
      </c>
      <c r="L5">
        <f>=IF(Workspace!B2="","",VLOOKUP(Workspace!N2,RecTable,2,FALSE))</f>
      </c>
    </row>
    <row r="6" ht="54" customHeight="1" spans="1:12" x14ac:dyDescent="0.25">
      <c r="A6" s="51"/>
      <c r="B6" s="52" t="s">
        <v>247</v>
      </c>
      <c r="C6" s="54">
        <f>="Defend"&amp;IF(TEXTJOIN(CHAR(10),TRUE,IF((Workspace!$Q$2:$Q$31=1)*(Workspace!$R$2:$R$31=2),Workspace!$B$2:$B$31,""))="","",CHAR(10)&amp;TEXTJOIN(CHAR(10),TRUE,IF((Workspace!$Q$2:$Q$31=1)*(Workspace!$R$2:$R$31=2),Workspace!$B$2:$B$31,"")))</f>
      </c>
      <c r="D6" s="57">
        <f>="Protect"&amp;IF(TEXTJOIN(CHAR(10),TRUE,IF((Workspace!$Q$2:$Q$31=2)*(Workspace!$R$2:$R$31=2),Workspace!$B$2:$B$31,""))="","",CHAR(10)&amp;TEXTJOIN(CHAR(10),TRUE,IF((Workspace!$Q$2:$Q$31=2)*(Workspace!$R$2:$R$31=2),Workspace!$B$2:$B$31,"")))</f>
      </c>
      <c r="E6" s="58">
        <f>="Collaborate"&amp;IF(TEXTJOIN(CHAR(10),TRUE,IF((Workspace!$Q$2:$Q$31=3)*(Workspace!$R$2:$R$31=2),Workspace!$B$2:$B$31,""))="","",CHAR(10)&amp;TEXTJOIN(CHAR(10),TRUE,IF((Workspace!$Q$2:$Q$31=3)*(Workspace!$R$2:$R$31=2),Workspace!$B$2:$B$31,"")))</f>
      </c>
      <c r="F6" s="59">
        <f>="High Value Relationship"&amp;IF(TEXTJOIN(CHAR(10),TRUE,IF((Workspace!$Q$2:$Q$31=4)*(Workspace!$R$2:$R$31=2),Workspace!$B$2:$B$31,""))="","",CHAR(10)&amp;TEXTJOIN(CHAR(10),TRUE,IF((Workspace!$Q$2:$Q$31=4)*(Workspace!$R$2:$R$31=2),Workspace!$B$2:$B$31,"")))</f>
      </c>
      <c r="H6">
        <f>=IF(Workspace!B3="","",Workspace!B3)</f>
      </c>
      <c r="I6" s="37">
        <f>=IF(Workspace!B3="","",Workspace!L3)</f>
      </c>
      <c r="J6" s="37">
        <f>=IF(Workspace!B3="","",Workspace!M3)</f>
      </c>
      <c r="K6">
        <f>=IF(Workspace!B3="","",Workspace!N3)</f>
      </c>
      <c r="L6">
        <f>=IF(Workspace!B3="","",VLOOKUP(Workspace!N3,RecTable,2,FALSE))</f>
      </c>
    </row>
    <row r="7" ht="54" customHeight="1" spans="1:12" x14ac:dyDescent="0.25">
      <c r="A7" s="51"/>
      <c r="B7" s="52" t="s">
        <v>248</v>
      </c>
      <c r="C7" s="57">
        <f>="Protect"&amp;IF(TEXTJOIN(CHAR(10),TRUE,IF((Workspace!$Q$2:$Q$31=1)*(Workspace!$R$2:$R$31=3),Workspace!$B$2:$B$31,""))="","",CHAR(10)&amp;TEXTJOIN(CHAR(10),TRUE,IF((Workspace!$Q$2:$Q$31=1)*(Workspace!$R$2:$R$31=3),Workspace!$B$2:$B$31,"")))</f>
      </c>
      <c r="D7" s="60">
        <f>="Respond"&amp;IF(TEXTJOIN(CHAR(10),TRUE,IF((Workspace!$Q$2:$Q$31=2)*(Workspace!$R$2:$R$31=3),Workspace!$B$2:$B$31,""))="","",CHAR(10)&amp;TEXTJOIN(CHAR(10),TRUE,IF((Workspace!$Q$2:$Q$31=2)*(Workspace!$R$2:$R$31=3),Workspace!$B$2:$B$31,"")))</f>
      </c>
      <c r="E7" s="61">
        <f>="Cooperate"&amp;IF(TEXTJOIN(CHAR(10),TRUE,IF((Workspace!$Q$2:$Q$31=3)*(Workspace!$R$2:$R$31=3),Workspace!$B$2:$B$31,""))="","",CHAR(10)&amp;TEXTJOIN(CHAR(10),TRUE,IF((Workspace!$Q$2:$Q$31=3)*(Workspace!$R$2:$R$31=3),Workspace!$B$2:$B$31,"")))</f>
      </c>
      <c r="F7" s="58">
        <f>="Collaborate"&amp;IF(TEXTJOIN(CHAR(10),TRUE,IF((Workspace!$Q$2:$Q$31=4)*(Workspace!$R$2:$R$31=3),Workspace!$B$2:$B$31,""))="","",CHAR(10)&amp;TEXTJOIN(CHAR(10),TRUE,IF((Workspace!$Q$2:$Q$31=4)*(Workspace!$R$2:$R$31=3),Workspace!$B$2:$B$31,"")))</f>
      </c>
      <c r="H7">
        <f>=IF(Workspace!B4="","",Workspace!B4)</f>
      </c>
      <c r="I7" s="37">
        <f>=IF(Workspace!B4="","",Workspace!L4)</f>
      </c>
      <c r="J7" s="37">
        <f>=IF(Workspace!B4="","",Workspace!M4)</f>
      </c>
      <c r="K7">
        <f>=IF(Workspace!B4="","",Workspace!N4)</f>
      </c>
      <c r="L7">
        <f>=IF(Workspace!B4="","",VLOOKUP(Workspace!N4,RecTable,2,FALSE))</f>
      </c>
    </row>
    <row r="8" ht="54" customHeight="1" spans="1:12" x14ac:dyDescent="0.25">
      <c r="A8" s="51"/>
      <c r="B8" s="52" t="s">
        <v>249</v>
      </c>
      <c r="C8" s="57">
        <f>="Protect"&amp;IF(TEXTJOIN(CHAR(10),TRUE,IF((Workspace!$Q$2:$Q$31=1)*(Workspace!$R$2:$R$31=4),Workspace!$B$2:$B$31,""))="","",CHAR(10)&amp;TEXTJOIN(CHAR(10),TRUE,IF((Workspace!$Q$2:$Q$31=1)*(Workspace!$R$2:$R$31=4),Workspace!$B$2:$B$31,"")))</f>
      </c>
      <c r="D8" s="60">
        <f>="Respond"&amp;IF(TEXTJOIN(CHAR(10),TRUE,IF((Workspace!$Q$2:$Q$31=2)*(Workspace!$R$2:$R$31=4),Workspace!$B$2:$B$31,""))="","",CHAR(10)&amp;TEXTJOIN(CHAR(10),TRUE,IF((Workspace!$Q$2:$Q$31=2)*(Workspace!$R$2:$R$31=4),Workspace!$B$2:$B$31,"")))</f>
      </c>
      <c r="E8" s="61">
        <f>="Cooperate"&amp;IF(TEXTJOIN(CHAR(10),TRUE,IF((Workspace!$Q$2:$Q$31=3)*(Workspace!$R$2:$R$31=4),Workspace!$B$2:$B$31,""))="","",CHAR(10)&amp;TEXTJOIN(CHAR(10),TRUE,IF((Workspace!$Q$2:$Q$31=3)*(Workspace!$R$2:$R$31=4),Workspace!$B$2:$B$31,"")))</f>
      </c>
      <c r="F8" s="58">
        <f>="Collaborate"&amp;IF(TEXTJOIN(CHAR(10),TRUE,IF((Workspace!$Q$2:$Q$31=4)*(Workspace!$R$2:$R$31=4),Workspace!$B$2:$B$31,""))="","",CHAR(10)&amp;TEXTJOIN(CHAR(10),TRUE,IF((Workspace!$Q$2:$Q$31=4)*(Workspace!$R$2:$R$31=4),Workspace!$B$2:$B$31,"")))</f>
      </c>
      <c r="H8">
        <f>=IF(Workspace!B5="","",Workspace!B5)</f>
      </c>
      <c r="I8" s="37">
        <f>=IF(Workspace!B5="","",Workspace!L5)</f>
      </c>
      <c r="J8" s="37">
        <f>=IF(Workspace!B5="","",Workspace!M5)</f>
      </c>
      <c r="K8">
        <f>=IF(Workspace!B5="","",Workspace!N5)</f>
      </c>
      <c r="L8">
        <f>=IF(Workspace!B5="","",VLOOKUP(Workspace!N5,RecTable,2,FALSE))</f>
      </c>
    </row>
    <row r="9" ht="54" customHeight="1" spans="1:12" x14ac:dyDescent="0.25">
      <c r="A9" s="51"/>
      <c r="B9" s="52" t="s">
        <v>250</v>
      </c>
      <c r="C9" s="62">
        <f>="Identify"&amp;IF(TEXTJOIN(CHAR(10),TRUE,IF((Workspace!$Q$2:$Q$31=1)*(Workspace!$R$2:$R$31=5),Workspace!$B$2:$B$31,""))="","",CHAR(10)&amp;TEXTJOIN(CHAR(10),TRUE,IF((Workspace!$Q$2:$Q$31=1)*(Workspace!$R$2:$R$31=5),Workspace!$B$2:$B$31,"")))</f>
      </c>
      <c r="D9" s="62">
        <f>="Identify"&amp;IF(TEXTJOIN(CHAR(10),TRUE,IF((Workspace!$Q$2:$Q$31=2)*(Workspace!$R$2:$R$31=5),Workspace!$B$2:$B$31,""))="","",CHAR(10)&amp;TEXTJOIN(CHAR(10),TRUE,IF((Workspace!$Q$2:$Q$31=2)*(Workspace!$R$2:$R$31=5),Workspace!$B$2:$B$31,"")))</f>
      </c>
      <c r="E9" s="63">
        <f>="Commit"&amp;IF(TEXTJOIN(CHAR(10),TRUE,IF((Workspace!$Q$2:$Q$31=3)*(Workspace!$R$2:$R$31=5),Workspace!$B$2:$B$31,""))="","",CHAR(10)&amp;TEXTJOIN(CHAR(10),TRUE,IF((Workspace!$Q$2:$Q$31=3)*(Workspace!$R$2:$R$31=5),Workspace!$B$2:$B$31,"")))</f>
      </c>
      <c r="F9" s="63">
        <f>="Commit"&amp;IF(TEXTJOIN(CHAR(10),TRUE,IF((Workspace!$Q$2:$Q$31=4)*(Workspace!$R$2:$R$31=5),Workspace!$B$2:$B$31,""))="","",CHAR(10)&amp;TEXTJOIN(CHAR(10),TRUE,IF((Workspace!$Q$2:$Q$31=4)*(Workspace!$R$2:$R$31=5),Workspace!$B$2:$B$31,"")))</f>
      </c>
      <c r="H9">
        <f>=IF(Workspace!B6="","",Workspace!B6)</f>
      </c>
      <c r="I9" s="37">
        <f>=IF(Workspace!B6="","",Workspace!L6)</f>
      </c>
      <c r="J9" s="37">
        <f>=IF(Workspace!B6="","",Workspace!M6)</f>
      </c>
      <c r="K9">
        <f>=IF(Workspace!B6="","",Workspace!N6)</f>
      </c>
      <c r="L9">
        <f>=IF(Workspace!B6="","",VLOOKUP(Workspace!N6,RecTable,2,FALSE))</f>
      </c>
    </row>
    <row r="10" ht="54" customHeight="1" spans="1:12" x14ac:dyDescent="0.25">
      <c r="A10" s="51"/>
      <c r="B10" s="52" t="s">
        <v>251</v>
      </c>
      <c r="C10" s="64">
        <f>="Monitor"&amp;IF(TEXTJOIN(CHAR(10),TRUE,IF((Workspace!$Q$2:$Q$31=1)*(Workspace!$R$2:$R$31=6),Workspace!$B$2:$B$31,""))="","",CHAR(10)&amp;TEXTJOIN(CHAR(10),TRUE,IF((Workspace!$Q$2:$Q$31=1)*(Workspace!$R$2:$R$31=6),Workspace!$B$2:$B$31,"")))</f>
      </c>
      <c r="D10" s="64">
        <f>="Monitor"&amp;IF(TEXTJOIN(CHAR(10),TRUE,IF((Workspace!$Q$2:$Q$31=2)*(Workspace!$R$2:$R$31=6),Workspace!$B$2:$B$31,""))="","",CHAR(10)&amp;TEXTJOIN(CHAR(10),TRUE,IF((Workspace!$Q$2:$Q$31=2)*(Workspace!$R$2:$R$31=6),Workspace!$B$2:$B$31,"")))</f>
      </c>
      <c r="E10" s="65">
        <f>="Maintain"&amp;IF(TEXTJOIN(CHAR(10),TRUE,IF((Workspace!$Q$2:$Q$31=3)*(Workspace!$R$2:$R$31=6),Workspace!$B$2:$B$31,""))="","",CHAR(10)&amp;TEXTJOIN(CHAR(10),TRUE,IF((Workspace!$Q$2:$Q$31=3)*(Workspace!$R$2:$R$31=6),Workspace!$B$2:$B$31,"")))</f>
      </c>
      <c r="F10" s="66">
        <f>="Connect"&amp;IF(TEXTJOIN(CHAR(10),TRUE,IF((Workspace!$Q$2:$Q$31=4)*(Workspace!$R$2:$R$31=6),Workspace!$B$2:$B$31,""))="","",CHAR(10)&amp;TEXTJOIN(CHAR(10),TRUE,IF((Workspace!$Q$2:$Q$31=4)*(Workspace!$R$2:$R$31=6),Workspace!$B$2:$B$31,"")))</f>
      </c>
      <c r="H10">
        <f>=IF(Workspace!B7="","",Workspace!B7)</f>
      </c>
      <c r="I10" s="37">
        <f>=IF(Workspace!B7="","",Workspace!L7)</f>
      </c>
      <c r="J10" s="37">
        <f>=IF(Workspace!B7="","",Workspace!M7)</f>
      </c>
      <c r="K10">
        <f>=IF(Workspace!B7="","",Workspace!N7)</f>
      </c>
      <c r="L10">
        <f>=IF(Workspace!B7="","",VLOOKUP(Workspace!N7,RecTable,2,FALSE))</f>
      </c>
    </row>
    <row r="11" spans="8:12" x14ac:dyDescent="0.25">
      <c r="H11">
        <f>=IF(Workspace!B8="","",Workspace!B8)</f>
      </c>
      <c r="I11" s="37">
        <f>=IF(Workspace!B8="","",Workspace!L8)</f>
      </c>
      <c r="J11" s="37">
        <f>=IF(Workspace!B8="","",Workspace!M8)</f>
      </c>
      <c r="K11">
        <f>=IF(Workspace!B8="","",Workspace!N8)</f>
      </c>
      <c r="L11">
        <f>=IF(Workspace!B8="","",VLOOKUP(Workspace!N8,RecTable,2,FALSE))</f>
      </c>
    </row>
    <row r="12" spans="3:12" x14ac:dyDescent="0.25">
      <c r="C12" s="35" t="s">
        <v>252</v>
      </c>
      <c r="D12" s="67" t="s">
        <v>253</v>
      </c>
      <c r="E12" s="67"/>
      <c r="F12" s="68" t="s">
        <v>254</v>
      </c>
      <c r="H12">
        <f>=IF(Workspace!B9="","",Workspace!B9)</f>
      </c>
      <c r="I12" s="37">
        <f>=IF(Workspace!B9="","",Workspace!L9)</f>
      </c>
      <c r="J12" s="37">
        <f>=IF(Workspace!B9="","",Workspace!M9)</f>
      </c>
      <c r="K12">
        <f>=IF(Workspace!B9="","",Workspace!N9)</f>
      </c>
      <c r="L12">
        <f>=IF(Workspace!B9="","",VLOOKUP(Workspace!N9,RecTable,2,FALSE))</f>
      </c>
    </row>
    <row r="13" spans="8:12" x14ac:dyDescent="0.25">
      <c r="H13">
        <f>=IF(Workspace!B10="","",Workspace!B10)</f>
      </c>
      <c r="I13" s="37">
        <f>=IF(Workspace!B10="","",Workspace!L10)</f>
      </c>
      <c r="J13" s="37">
        <f>=IF(Workspace!B10="","",Workspace!M10)</f>
      </c>
      <c r="K13">
        <f>=IF(Workspace!B10="","",Workspace!N10)</f>
      </c>
      <c r="L13">
        <f>=IF(Workspace!B10="","",VLOOKUP(Workspace!N10,RecTable,2,FALSE))</f>
      </c>
    </row>
    <row r="14" spans="8:12" x14ac:dyDescent="0.25">
      <c r="H14">
        <f>=IF(Workspace!B11="","",Workspace!B11)</f>
      </c>
      <c r="I14" s="37">
        <f>=IF(Workspace!B11="","",Workspace!L11)</f>
      </c>
      <c r="J14" s="37">
        <f>=IF(Workspace!B11="","",Workspace!M11)</f>
      </c>
      <c r="K14">
        <f>=IF(Workspace!B11="","",Workspace!N11)</f>
      </c>
      <c r="L14">
        <f>=IF(Workspace!B11="","",VLOOKUP(Workspace!N11,RecTable,2,FALSE))</f>
      </c>
    </row>
    <row r="15" spans="8:12" x14ac:dyDescent="0.25">
      <c r="H15">
        <f>=IF(Workspace!B12="","",Workspace!B12)</f>
      </c>
      <c r="I15" s="37">
        <f>=IF(Workspace!B12="","",Workspace!L12)</f>
      </c>
      <c r="J15" s="37">
        <f>=IF(Workspace!B12="","",Workspace!M12)</f>
      </c>
      <c r="K15">
        <f>=IF(Workspace!B12="","",Workspace!N12)</f>
      </c>
      <c r="L15">
        <f>=IF(Workspace!B12="","",VLOOKUP(Workspace!N12,RecTable,2,FALSE))</f>
      </c>
    </row>
    <row r="16" spans="8:12" x14ac:dyDescent="0.25">
      <c r="H16">
        <f>=IF(Workspace!B13="","",Workspace!B13)</f>
      </c>
      <c r="I16" s="37">
        <f>=IF(Workspace!B13="","",Workspace!L13)</f>
      </c>
      <c r="J16" s="37">
        <f>=IF(Workspace!B13="","",Workspace!M13)</f>
      </c>
      <c r="K16">
        <f>=IF(Workspace!B13="","",Workspace!N13)</f>
      </c>
      <c r="L16">
        <f>=IF(Workspace!B13="","",VLOOKUP(Workspace!N13,RecTable,2,FALSE))</f>
      </c>
    </row>
    <row r="17" spans="8:12" x14ac:dyDescent="0.25">
      <c r="H17">
        <f>=IF(Workspace!B14="","",Workspace!B14)</f>
      </c>
      <c r="I17" s="37">
        <f>=IF(Workspace!B14="","",Workspace!L14)</f>
      </c>
      <c r="J17" s="37">
        <f>=IF(Workspace!B14="","",Workspace!M14)</f>
      </c>
      <c r="K17">
        <f>=IF(Workspace!B14="","",Workspace!N14)</f>
      </c>
      <c r="L17">
        <f>=IF(Workspace!B14="","",VLOOKUP(Workspace!N14,RecTable,2,FALSE))</f>
      </c>
    </row>
    <row r="18" spans="8:12" x14ac:dyDescent="0.25">
      <c r="H18">
        <f>=IF(Workspace!B15="","",Workspace!B15)</f>
      </c>
      <c r="I18" s="37">
        <f>=IF(Workspace!B15="","",Workspace!L15)</f>
      </c>
      <c r="J18" s="37">
        <f>=IF(Workspace!B15="","",Workspace!M15)</f>
      </c>
      <c r="K18">
        <f>=IF(Workspace!B15="","",Workspace!N15)</f>
      </c>
      <c r="L18">
        <f>=IF(Workspace!B15="","",VLOOKUP(Workspace!N15,RecTable,2,FALSE))</f>
      </c>
    </row>
    <row r="19" spans="8:12" x14ac:dyDescent="0.25">
      <c r="H19">
        <f>=IF(Workspace!B16="","",Workspace!B16)</f>
      </c>
      <c r="I19" s="37">
        <f>=IF(Workspace!B16="","",Workspace!L16)</f>
      </c>
      <c r="J19" s="37">
        <f>=IF(Workspace!B16="","",Workspace!M16)</f>
      </c>
      <c r="K19">
        <f>=IF(Workspace!B16="","",Workspace!N16)</f>
      </c>
      <c r="L19">
        <f>=IF(Workspace!B16="","",VLOOKUP(Workspace!N16,RecTable,2,FALSE))</f>
      </c>
    </row>
    <row r="20" spans="8:12" x14ac:dyDescent="0.25">
      <c r="H20">
        <f>=IF(Workspace!B17="","",Workspace!B17)</f>
      </c>
      <c r="I20" s="37">
        <f>=IF(Workspace!B17="","",Workspace!L17)</f>
      </c>
      <c r="J20" s="37">
        <f>=IF(Workspace!B17="","",Workspace!M17)</f>
      </c>
      <c r="K20">
        <f>=IF(Workspace!B17="","",Workspace!N17)</f>
      </c>
      <c r="L20">
        <f>=IF(Workspace!B17="","",VLOOKUP(Workspace!N17,RecTable,2,FALSE))</f>
      </c>
    </row>
    <row r="21" spans="8:12" x14ac:dyDescent="0.25">
      <c r="H21">
        <f>=IF(Workspace!B18="","",Workspace!B18)</f>
      </c>
      <c r="I21" s="37">
        <f>=IF(Workspace!B18="","",Workspace!L18)</f>
      </c>
      <c r="J21" s="37">
        <f>=IF(Workspace!B18="","",Workspace!M18)</f>
      </c>
      <c r="K21">
        <f>=IF(Workspace!B18="","",Workspace!N18)</f>
      </c>
      <c r="L21">
        <f>=IF(Workspace!B18="","",VLOOKUP(Workspace!N18,RecTable,2,FALSE))</f>
      </c>
    </row>
    <row r="22" spans="8:12" x14ac:dyDescent="0.25">
      <c r="H22">
        <f>=IF(Workspace!B19="","",Workspace!B19)</f>
      </c>
      <c r="I22" s="37">
        <f>=IF(Workspace!B19="","",Workspace!L19)</f>
      </c>
      <c r="J22" s="37">
        <f>=IF(Workspace!B19="","",Workspace!M19)</f>
      </c>
      <c r="K22">
        <f>=IF(Workspace!B19="","",Workspace!N19)</f>
      </c>
      <c r="L22">
        <f>=IF(Workspace!B19="","",VLOOKUP(Workspace!N19,RecTable,2,FALSE))</f>
      </c>
    </row>
    <row r="23" spans="8:12" x14ac:dyDescent="0.25">
      <c r="H23">
        <f>=IF(Workspace!B20="","",Workspace!B20)</f>
      </c>
      <c r="I23" s="37">
        <f>=IF(Workspace!B20="","",Workspace!L20)</f>
      </c>
      <c r="J23" s="37">
        <f>=IF(Workspace!B20="","",Workspace!M20)</f>
      </c>
      <c r="K23">
        <f>=IF(Workspace!B20="","",Workspace!N20)</f>
      </c>
      <c r="L23">
        <f>=IF(Workspace!B20="","",VLOOKUP(Workspace!N20,RecTable,2,FALSE))</f>
      </c>
    </row>
    <row r="24" spans="8:12" x14ac:dyDescent="0.25">
      <c r="H24">
        <f>=IF(Workspace!B21="","",Workspace!B21)</f>
      </c>
      <c r="I24" s="37">
        <f>=IF(Workspace!B21="","",Workspace!L21)</f>
      </c>
      <c r="J24" s="37">
        <f>=IF(Workspace!B21="","",Workspace!M21)</f>
      </c>
      <c r="K24">
        <f>=IF(Workspace!B21="","",Workspace!N21)</f>
      </c>
      <c r="L24">
        <f>=IF(Workspace!B21="","",VLOOKUP(Workspace!N21,RecTable,2,FALSE))</f>
      </c>
    </row>
    <row r="25" spans="8:12" x14ac:dyDescent="0.25">
      <c r="H25">
        <f>=IF(Workspace!B22="","",Workspace!B22)</f>
      </c>
      <c r="I25" s="37">
        <f>=IF(Workspace!B22="","",Workspace!L22)</f>
      </c>
      <c r="J25" s="37">
        <f>=IF(Workspace!B22="","",Workspace!M22)</f>
      </c>
      <c r="K25">
        <f>=IF(Workspace!B22="","",Workspace!N22)</f>
      </c>
      <c r="L25">
        <f>=IF(Workspace!B22="","",VLOOKUP(Workspace!N22,RecTable,2,FALSE))</f>
      </c>
    </row>
    <row r="26" spans="8:12" x14ac:dyDescent="0.25">
      <c r="H26">
        <f>=IF(Workspace!B23="","",Workspace!B23)</f>
      </c>
      <c r="I26" s="37">
        <f>=IF(Workspace!B23="","",Workspace!L23)</f>
      </c>
      <c r="J26" s="37">
        <f>=IF(Workspace!B23="","",Workspace!M23)</f>
      </c>
      <c r="K26">
        <f>=IF(Workspace!B23="","",Workspace!N23)</f>
      </c>
      <c r="L26">
        <f>=IF(Workspace!B23="","",VLOOKUP(Workspace!N23,RecTable,2,FALSE))</f>
      </c>
    </row>
    <row r="27" spans="8:12" x14ac:dyDescent="0.25">
      <c r="H27">
        <f>=IF(Workspace!B24="","",Workspace!B24)</f>
      </c>
      <c r="I27" s="37">
        <f>=IF(Workspace!B24="","",Workspace!L24)</f>
      </c>
      <c r="J27" s="37">
        <f>=IF(Workspace!B24="","",Workspace!M24)</f>
      </c>
      <c r="K27">
        <f>=IF(Workspace!B24="","",Workspace!N24)</f>
      </c>
      <c r="L27">
        <f>=IF(Workspace!B24="","",VLOOKUP(Workspace!N24,RecTable,2,FALSE))</f>
      </c>
    </row>
    <row r="28" spans="8:12" x14ac:dyDescent="0.25">
      <c r="H28">
        <f>=IF(Workspace!B25="","",Workspace!B25)</f>
      </c>
      <c r="I28" s="37">
        <f>=IF(Workspace!B25="","",Workspace!L25)</f>
      </c>
      <c r="J28" s="37">
        <f>=IF(Workspace!B25="","",Workspace!M25)</f>
      </c>
      <c r="K28">
        <f>=IF(Workspace!B25="","",Workspace!N25)</f>
      </c>
      <c r="L28">
        <f>=IF(Workspace!B25="","",VLOOKUP(Workspace!N25,RecTable,2,FALSE))</f>
      </c>
    </row>
    <row r="29" spans="8:12" x14ac:dyDescent="0.25">
      <c r="H29">
        <f>=IF(Workspace!B26="","",Workspace!B26)</f>
      </c>
      <c r="I29" s="37">
        <f>=IF(Workspace!B26="","",Workspace!L26)</f>
      </c>
      <c r="J29" s="37">
        <f>=IF(Workspace!B26="","",Workspace!M26)</f>
      </c>
      <c r="K29">
        <f>=IF(Workspace!B26="","",Workspace!N26)</f>
      </c>
      <c r="L29">
        <f>=IF(Workspace!B26="","",VLOOKUP(Workspace!N26,RecTable,2,FALSE))</f>
      </c>
    </row>
    <row r="30" spans="8:12" x14ac:dyDescent="0.25">
      <c r="H30">
        <f>=IF(Workspace!B27="","",Workspace!B27)</f>
      </c>
      <c r="I30" s="37">
        <f>=IF(Workspace!B27="","",Workspace!L27)</f>
      </c>
      <c r="J30" s="37">
        <f>=IF(Workspace!B27="","",Workspace!M27)</f>
      </c>
      <c r="K30">
        <f>=IF(Workspace!B27="","",Workspace!N27)</f>
      </c>
      <c r="L30">
        <f>=IF(Workspace!B27="","",VLOOKUP(Workspace!N27,RecTable,2,FALSE))</f>
      </c>
    </row>
    <row r="31" spans="8:12" x14ac:dyDescent="0.25">
      <c r="H31">
        <f>=IF(Workspace!B28="","",Workspace!B28)</f>
      </c>
      <c r="I31" s="37">
        <f>=IF(Workspace!B28="","",Workspace!L28)</f>
      </c>
      <c r="J31" s="37">
        <f>=IF(Workspace!B28="","",Workspace!M28)</f>
      </c>
      <c r="K31">
        <f>=IF(Workspace!B28="","",Workspace!N28)</f>
      </c>
      <c r="L31">
        <f>=IF(Workspace!B28="","",VLOOKUP(Workspace!N28,RecTable,2,FALSE))</f>
      </c>
    </row>
    <row r="32" spans="8:12" x14ac:dyDescent="0.25">
      <c r="H32">
        <f>=IF(Workspace!B29="","",Workspace!B29)</f>
      </c>
      <c r="I32" s="37">
        <f>=IF(Workspace!B29="","",Workspace!L29)</f>
      </c>
      <c r="J32" s="37">
        <f>=IF(Workspace!B29="","",Workspace!M29)</f>
      </c>
      <c r="K32">
        <f>=IF(Workspace!B29="","",Workspace!N29)</f>
      </c>
      <c r="L32">
        <f>=IF(Workspace!B29="","",VLOOKUP(Workspace!N29,RecTable,2,FALSE))</f>
      </c>
    </row>
    <row r="33" spans="8:12" x14ac:dyDescent="0.25">
      <c r="H33">
        <f>=IF(Workspace!B30="","",Workspace!B30)</f>
      </c>
      <c r="I33" s="37">
        <f>=IF(Workspace!B30="","",Workspace!L30)</f>
      </c>
      <c r="J33" s="37">
        <f>=IF(Workspace!B30="","",Workspace!M30)</f>
      </c>
      <c r="K33">
        <f>=IF(Workspace!B30="","",Workspace!N30)</f>
      </c>
      <c r="L33">
        <f>=IF(Workspace!B30="","",VLOOKUP(Workspace!N30,RecTable,2,FALSE))</f>
      </c>
    </row>
    <row r="34" spans="8:12" x14ac:dyDescent="0.25">
      <c r="H34">
        <f>=IF(Workspace!B31="","",Workspace!B31)</f>
      </c>
      <c r="I34" s="37">
        <f>=IF(Workspace!B31="","",Workspace!L31)</f>
      </c>
      <c r="J34" s="37">
        <f>=IF(Workspace!B31="","",Workspace!M31)</f>
      </c>
      <c r="K34">
        <f>=IF(Workspace!B31="","",Workspace!N31)</f>
      </c>
      <c r="L34">
        <f>=IF(Workspace!B31="","",VLOOKUP(Workspace!N31,RecTable,2,FALSE))</f>
      </c>
    </row>
  </sheetData>
  <mergeCells count="3">
    <mergeCell ref="C3:F3"/>
    <mergeCell ref="A5:A10"/>
    <mergeCell ref="D12:E12"/>
  </mergeCells>
  <conditionalFormatting sqref="K5:K34">
    <cfRule type="expression" dxfId="14" priority="1">
      <formula>$K5="Proactively Defend"</formula>
    </cfRule>
    <cfRule type="expression" dxfId="15" priority="2">
      <formula>$K5="Defend"</formula>
    </cfRule>
    <cfRule type="expression" dxfId="16" priority="3">
      <formula>$K5="Protect"</formula>
    </cfRule>
    <cfRule type="expression" dxfId="17" priority="4">
      <formula>$K5="Respond"</formula>
    </cfRule>
    <cfRule type="expression" dxfId="18" priority="5">
      <formula>$K5="Identify"</formula>
    </cfRule>
    <cfRule type="expression" dxfId="19" priority="6">
      <formula>$K5="Monitor"</formula>
    </cfRule>
    <cfRule type="expression" dxfId="20" priority="7">
      <formula>$K5="Maintain"</formula>
    </cfRule>
    <cfRule type="expression" dxfId="21" priority="8">
      <formula>$K5="Connect"</formula>
    </cfRule>
    <cfRule type="expression" dxfId="22" priority="9">
      <formula>$K5="Commit"</formula>
    </cfRule>
    <cfRule type="expression" dxfId="23" priority="10">
      <formula>$K5="Cooperate"</formula>
    </cfRule>
    <cfRule type="expression" dxfId="24" priority="11">
      <formula>$K5="Collaborate"</formula>
    </cfRule>
    <cfRule type="expression" dxfId="25" priority="12">
      <formula>$K5="Valuable Relationship"</formula>
    </cfRule>
    <cfRule type="expression" dxfId="26" priority="13">
      <formula>$K5="High Value Relationship"</formula>
    </cfRule>
    <cfRule type="expression" dxfId="27" priority="14">
      <formula>$K5="Strategic Partner"</formula>
    </cfRule>
  </conditionalFormatting>
  <pageMargins left="0.7" right="0.7" top="0.75" bottom="0.75" header="0.3" footer="0.3"/>
  <pageSetup orientation="portrait" horizontalDpi="4294967295" verticalDpi="4294967295" scale="100" fitToWidth="1" fitToHeight="1"/>
  <drawing r:id="rIdDraw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FormatPr defaultRowHeight="15" outlineLevelRow="0" outlineLevelCol="0" x14ac:dyDescent="55"/>
  <sheetData>
    <row r="1" spans="1:22" x14ac:dyDescent="0.25">
      <c r="A1" t="s">
        <v>2</v>
      </c>
      <c r="C1" t="s">
        <v>8</v>
      </c>
      <c r="D1" t="s">
        <v>9</v>
      </c>
      <c r="E1" t="s">
        <v>10</v>
      </c>
      <c r="F1" t="s">
        <v>11</v>
      </c>
      <c r="G1" t="s">
        <v>12</v>
      </c>
      <c r="H1" t="s">
        <v>13</v>
      </c>
      <c r="J1" t="s">
        <v>172</v>
      </c>
      <c r="K1" t="s">
        <v>173</v>
      </c>
      <c r="L1" t="s">
        <v>212</v>
      </c>
      <c r="M1" t="s">
        <v>177</v>
      </c>
      <c r="N1" t="s">
        <v>178</v>
      </c>
      <c r="P1" t="s">
        <v>108</v>
      </c>
      <c r="Q1" t="s">
        <v>111</v>
      </c>
      <c r="R1" t="s">
        <v>133</v>
      </c>
      <c r="S1" t="s">
        <v>137</v>
      </c>
      <c r="U1" t="s">
        <v>108</v>
      </c>
      <c r="V1" t="s">
        <v>110</v>
      </c>
    </row>
    <row r="2" spans="1:22" x14ac:dyDescent="0.25">
      <c r="A2" t="s">
        <v>3</v>
      </c>
      <c r="C2" t="s">
        <v>14</v>
      </c>
      <c r="D2" t="s">
        <v>15</v>
      </c>
      <c r="E2" t="s">
        <v>16</v>
      </c>
      <c r="F2" t="s">
        <v>17</v>
      </c>
      <c r="G2" t="s">
        <v>18</v>
      </c>
      <c r="H2" t="s">
        <v>19</v>
      </c>
      <c r="J2" t="s">
        <v>235</v>
      </c>
      <c r="K2" t="s">
        <v>255</v>
      </c>
      <c r="L2" t="s">
        <v>192</v>
      </c>
      <c r="M2" t="s">
        <v>182</v>
      </c>
      <c r="N2" t="s">
        <v>195</v>
      </c>
      <c r="P2" t="s">
        <v>111</v>
      </c>
      <c r="Q2" t="s">
        <v>113</v>
      </c>
      <c r="R2" t="s">
        <v>131</v>
      </c>
      <c r="S2" t="s">
        <v>135</v>
      </c>
      <c r="U2" t="s">
        <v>111</v>
      </c>
      <c r="V2" t="s">
        <v>112</v>
      </c>
    </row>
    <row r="3" spans="1:22" x14ac:dyDescent="0.25">
      <c r="A3" t="s">
        <v>4</v>
      </c>
      <c r="C3" t="s">
        <v>20</v>
      </c>
      <c r="D3" t="s">
        <v>21</v>
      </c>
      <c r="E3" t="s">
        <v>22</v>
      </c>
      <c r="F3" t="s">
        <v>23</v>
      </c>
      <c r="G3" t="s">
        <v>24</v>
      </c>
      <c r="H3" t="s">
        <v>25</v>
      </c>
      <c r="J3" t="s">
        <v>227</v>
      </c>
      <c r="K3" t="s">
        <v>256</v>
      </c>
      <c r="L3" t="s">
        <v>162</v>
      </c>
      <c r="M3" t="s">
        <v>204</v>
      </c>
      <c r="N3" t="s">
        <v>205</v>
      </c>
      <c r="P3" t="s">
        <v>113</v>
      </c>
      <c r="Q3" t="s">
        <v>115</v>
      </c>
      <c r="R3" t="s">
        <v>128</v>
      </c>
      <c r="S3" t="s">
        <v>131</v>
      </c>
      <c r="U3" t="s">
        <v>113</v>
      </c>
      <c r="V3" t="s">
        <v>114</v>
      </c>
    </row>
    <row r="4" spans="1:22" x14ac:dyDescent="0.25">
      <c r="A4" t="s">
        <v>5</v>
      </c>
      <c r="C4" t="s">
        <v>26</v>
      </c>
      <c r="D4" t="s">
        <v>27</v>
      </c>
      <c r="E4" t="s">
        <v>28</v>
      </c>
      <c r="F4" t="s">
        <v>29</v>
      </c>
      <c r="G4" t="s">
        <v>30</v>
      </c>
      <c r="H4" t="s">
        <v>31</v>
      </c>
      <c r="J4" t="s">
        <v>257</v>
      </c>
      <c r="K4" t="s">
        <v>236</v>
      </c>
      <c r="L4" t="s">
        <v>174</v>
      </c>
      <c r="N4" t="s">
        <v>258</v>
      </c>
      <c r="P4" t="s">
        <v>113</v>
      </c>
      <c r="Q4" t="s">
        <v>115</v>
      </c>
      <c r="R4" t="s">
        <v>128</v>
      </c>
      <c r="S4" t="s">
        <v>131</v>
      </c>
      <c r="U4" t="s">
        <v>115</v>
      </c>
      <c r="V4" t="s">
        <v>116</v>
      </c>
    </row>
    <row r="5" spans="1:22" x14ac:dyDescent="0.25">
      <c r="A5" t="s">
        <v>6</v>
      </c>
      <c r="C5" t="s">
        <v>32</v>
      </c>
      <c r="D5" t="s">
        <v>33</v>
      </c>
      <c r="E5" t="s">
        <v>34</v>
      </c>
      <c r="F5" t="s">
        <v>35</v>
      </c>
      <c r="K5" t="s">
        <v>259</v>
      </c>
      <c r="P5" t="s">
        <v>117</v>
      </c>
      <c r="Q5" t="s">
        <v>117</v>
      </c>
      <c r="R5" t="s">
        <v>126</v>
      </c>
      <c r="S5" t="s">
        <v>126</v>
      </c>
      <c r="U5" t="s">
        <v>117</v>
      </c>
      <c r="V5" t="s">
        <v>118</v>
      </c>
    </row>
    <row r="6" spans="1:22" x14ac:dyDescent="0.25">
      <c r="A6" t="s">
        <v>7</v>
      </c>
      <c r="C6" t="s">
        <v>36</v>
      </c>
      <c r="D6" t="s">
        <v>37</v>
      </c>
      <c r="E6" t="s">
        <v>38</v>
      </c>
      <c r="F6" t="s">
        <v>39</v>
      </c>
      <c r="K6" t="s">
        <v>228</v>
      </c>
      <c r="P6" t="s">
        <v>119</v>
      </c>
      <c r="Q6" t="s">
        <v>119</v>
      </c>
      <c r="R6" t="s">
        <v>122</v>
      </c>
      <c r="S6" t="s">
        <v>124</v>
      </c>
      <c r="U6" t="s">
        <v>119</v>
      </c>
      <c r="V6" t="s">
        <v>121</v>
      </c>
    </row>
    <row r="7" spans="3:22" x14ac:dyDescent="0.25">
      <c r="C7" t="s">
        <v>40</v>
      </c>
      <c r="D7" t="s">
        <v>41</v>
      </c>
      <c r="E7" t="s">
        <v>42</v>
      </c>
      <c r="F7" t="s">
        <v>43</v>
      </c>
      <c r="K7" t="s">
        <v>260</v>
      </c>
      <c r="U7" t="s">
        <v>122</v>
      </c>
      <c r="V7" t="s">
        <v>123</v>
      </c>
    </row>
    <row r="8" spans="3:22" x14ac:dyDescent="0.25">
      <c r="C8" t="s">
        <v>44</v>
      </c>
      <c r="D8" t="s">
        <v>45</v>
      </c>
      <c r="E8" t="s">
        <v>46</v>
      </c>
      <c r="F8" t="s">
        <v>47</v>
      </c>
      <c r="K8" t="s">
        <v>261</v>
      </c>
      <c r="U8" t="s">
        <v>124</v>
      </c>
      <c r="V8" t="s">
        <v>125</v>
      </c>
    </row>
    <row r="9" spans="3:22" x14ac:dyDescent="0.25">
      <c r="C9" t="s">
        <v>48</v>
      </c>
      <c r="D9" t="s">
        <v>49</v>
      </c>
      <c r="E9" t="s">
        <v>50</v>
      </c>
      <c r="K9" t="s">
        <v>262</v>
      </c>
      <c r="U9" t="s">
        <v>126</v>
      </c>
      <c r="V9" t="s">
        <v>127</v>
      </c>
    </row>
    <row r="10" spans="3:22" x14ac:dyDescent="0.25">
      <c r="C10" t="s">
        <v>51</v>
      </c>
      <c r="D10" t="s">
        <v>52</v>
      </c>
      <c r="E10" t="s">
        <v>53</v>
      </c>
      <c r="K10" t="s">
        <v>263</v>
      </c>
      <c r="U10" t="s">
        <v>128</v>
      </c>
      <c r="V10" t="s">
        <v>130</v>
      </c>
    </row>
    <row r="11" spans="3:22" x14ac:dyDescent="0.25">
      <c r="C11" t="s">
        <v>54</v>
      </c>
      <c r="D11" t="s">
        <v>55</v>
      </c>
      <c r="U11" t="s">
        <v>131</v>
      </c>
      <c r="V11" t="s">
        <v>132</v>
      </c>
    </row>
    <row r="12" spans="3:22" x14ac:dyDescent="0.25">
      <c r="C12" t="s">
        <v>56</v>
      </c>
      <c r="D12" t="s">
        <v>57</v>
      </c>
      <c r="U12" t="s">
        <v>133</v>
      </c>
      <c r="V12" t="s">
        <v>134</v>
      </c>
    </row>
    <row r="13" spans="3:22" x14ac:dyDescent="0.25">
      <c r="C13" t="s">
        <v>58</v>
      </c>
      <c r="D13" t="s">
        <v>59</v>
      </c>
      <c r="U13" t="s">
        <v>135</v>
      </c>
      <c r="V13" t="s">
        <v>136</v>
      </c>
    </row>
    <row r="14" spans="3:22" x14ac:dyDescent="0.25">
      <c r="C14" t="s">
        <v>60</v>
      </c>
      <c r="D14" t="s">
        <v>61</v>
      </c>
      <c r="U14" t="s">
        <v>137</v>
      </c>
      <c r="V14" t="s">
        <v>138</v>
      </c>
    </row>
    <row r="15" spans="3:4" x14ac:dyDescent="0.25">
      <c r="C15" t="s">
        <v>62</v>
      </c>
      <c r="D15" t="s">
        <v>63</v>
      </c>
    </row>
    <row r="16" spans="3:4" x14ac:dyDescent="0.25">
      <c r="C16" t="s">
        <v>64</v>
      </c>
      <c r="D16" t="s">
        <v>65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Intro</vt:lpstr>
      <vt:lpstr>Scoring</vt:lpstr>
      <vt:lpstr>Workspace</vt:lpstr>
      <vt:lpstr>Map</vt:lpstr>
      <vt:lpstr>Reference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Stakeholdr</dc:creator>
  <dc:title/>
  <dc:subject/>
  <dc:description/>
  <cp:keywords/>
  <cp:category/>
  <cp:lastModifiedBy>Unknown</cp:lastModifiedBy>
  <dcterms:created xsi:type="dcterms:W3CDTF">2026-06-03T16:46:49Z</dcterms:created>
  <dcterms:modified xsi:type="dcterms:W3CDTF">2026-06-03T16:46:49Z</dcterms:modified>
</cp:coreProperties>
</file>