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drawings/drawing1.xml" ContentType="application/vnd.openxmlformats-officedocument.drawing+xml"/>
  <Override PartName="/xl/charts/chart1.xml" ContentType="application/vnd.openxmlformats-officedocument.drawingml.char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ro" state="visible" r:id="rId4"/>
    <sheet sheetId="2" name="Scoring" state="visible" r:id="rId5"/>
    <sheet sheetId="3" name="Workspace" state="visible" r:id="rId6"/>
    <sheet sheetId="4" name="Map" state="visible" r:id="rId7"/>
    <sheet sheetId="5" name="Reference" state="hidden" r:id="rId8"/>
  </sheets>
  <definedNames>
    <definedName name="CategoryList">Reference!$A$1:$A$6</definedName>
    <definedName name="Communities">Reference!$C$1:$C$16</definedName>
    <definedName name="Government">Reference!$D$1:$D$16</definedName>
    <definedName name="Our_People">Reference!$E$1:$E$10</definedName>
    <definedName name="Industry">Reference!$F$1:$F$8</definedName>
    <definedName name="Consumers">Reference!$G$1:$G$4</definedName>
    <definedName name="Investors">Reference!$H$1:$H$4</definedName>
    <definedName name="Markets">Reference!$J$1:$J$4</definedName>
    <definedName name="Regions">Reference!$K$1:$K$10</definedName>
    <definedName name="Geographies">Reference!$L$1:$L$4</definedName>
    <definedName name="Priorities">Reference!$M$1:$M$3</definedName>
    <definedName name="Statuses">Reference!$N$1:$N$4</definedName>
    <definedName name="ZoneGrid">Reference!$P$1:$S$6</definedName>
    <definedName name="RecTable">Reference!$U$1:$V$14</definedName>
  </definedNames>
  <calcPr calcId="171027"/>
</workbook>
</file>

<file path=xl/sharedStrings.xml><?xml version="1.0" encoding="utf-8"?>
<sst xmlns="http://schemas.openxmlformats.org/spreadsheetml/2006/main" count="645" uniqueCount="283">
  <si>
    <t>STAKEHOLDR</t>
  </si>
  <si>
    <t>Stakeholders exist in a public square where ideas are exchanged, your credibility is won or lost, and value is created, shared, or squandered.</t>
  </si>
  <si>
    <t>How to plan for and engage stakeholders</t>
  </si>
  <si>
    <t>PURPOSE</t>
  </si>
  <si>
    <t>PLAN</t>
  </si>
  <si>
    <t>EXECUTE</t>
  </si>
  <si>
    <t>1. Set goals for your organization</t>
  </si>
  <si>
    <t>5. Landscape analysis</t>
  </si>
  <si>
    <t>9. Launch campaign</t>
  </si>
  <si>
    <t>2. Issue identification</t>
  </si>
  <si>
    <t>6. Cross-functional teams alignment</t>
  </si>
  <si>
    <t>10. Ongoing stakeholder analysis</t>
  </si>
  <si>
    <t>3. Stakeholder identification</t>
  </si>
  <si>
    <t>7. Research and listening sessions</t>
  </si>
  <si>
    <t>11. Collaborate with stakeholders</t>
  </si>
  <si>
    <t>4. Stakeholder prioritization</t>
  </si>
  <si>
    <t>8. Early stakeholder analysis and modeling</t>
  </si>
  <si>
    <t>12. Realize shared value where possible</t>
  </si>
  <si>
    <t>How to read the stakeholder map</t>
  </si>
  <si>
    <t>X  Impact on the business:    Negative impact ◀ ▶ Positive impact</t>
  </si>
  <si>
    <t>Y  Influence in the community:    Less influence ▼ ▲ Greater influence</t>
  </si>
  <si>
    <t>Proactively Defend</t>
  </si>
  <si>
    <t>Defend</t>
  </si>
  <si>
    <t>Protect</t>
  </si>
  <si>
    <t>Respond</t>
  </si>
  <si>
    <t>Identify</t>
  </si>
  <si>
    <t>Monitor</t>
  </si>
  <si>
    <t>Maintain</t>
  </si>
  <si>
    <t>Connect</t>
  </si>
  <si>
    <t>Commit</t>
  </si>
  <si>
    <t>Cooperate</t>
  </si>
  <si>
    <t>Collaborate</t>
  </si>
  <si>
    <t>Valuable Relationship</t>
  </si>
  <si>
    <t>High Value Relationship</t>
  </si>
  <si>
    <t>Strategic Partner</t>
  </si>
  <si>
    <t>NEGATIVE IMPACT ON ORGANIZATION</t>
  </si>
  <si>
    <t>THE WINNABLE MIDDLE</t>
  </si>
  <si>
    <t>POSITIVE IMPACT ON ORGANIZATION</t>
  </si>
  <si>
    <t>Defend license to operate</t>
  </si>
  <si>
    <t>Dispel myths and misperceptions</t>
  </si>
  <si>
    <t>Maximize shared value</t>
  </si>
  <si>
    <t>Challenge misinformation</t>
  </si>
  <si>
    <t>Appeal to their priorities</t>
  </si>
  <si>
    <t>Maintain relationship</t>
  </si>
  <si>
    <t>Plan for their influence in community</t>
  </si>
  <si>
    <t>Identify shared value to move them our way</t>
  </si>
  <si>
    <t>Champion their cause</t>
  </si>
  <si>
    <t>Identify their reputation with audiences</t>
  </si>
  <si>
    <t>Invest in relationship where possible</t>
  </si>
  <si>
    <t>Recruit as public surrogates</t>
  </si>
  <si>
    <t>“Influencer”</t>
  </si>
  <si>
    <t>Identify our reputation with them</t>
  </si>
  <si>
    <t>Communicate often</t>
  </si>
  <si>
    <t/>
  </si>
  <si>
    <t>The 14 zones at a glance</t>
  </si>
  <si>
    <t>Stakeholders are plotted on a two-axis grid: x measures impact on the business (do they work with you or against you?), y measures their influence in the community. The combination determines the relationship strategy.</t>
  </si>
  <si>
    <t>← Works against you</t>
  </si>
  <si>
    <t>↑ Greater community influence   ·   ↓ Less community influence</t>
  </si>
  <si>
    <t>Works with you →</t>
  </si>
  <si>
    <t>Strategy reference</t>
  </si>
  <si>
    <t>For every zone, a stakeholder's position on the map returns a recommended posture and suggested immediate actions your team can take.</t>
  </si>
  <si>
    <t>Zone</t>
  </si>
  <si>
    <t>Tone</t>
  </si>
  <si>
    <t>Strategy and recommended action</t>
  </si>
  <si>
    <t>Negative</t>
  </si>
  <si>
    <t>Address Key Influencer. Launch plan to neutralize a major threat to the industry or company's license to operate; leverage reputation, resources, subject-matter experts, and other allied stakeholders to win. Measure and report on activity often.</t>
  </si>
  <si>
    <t>Neutralize Threat. Defend license to operate. Defend reputation against regular attacks from stakeholders with high influence who are unlikely to move toward positive support; discredit message or position. Measure and report on activity often.</t>
  </si>
  <si>
    <t>Mobilize Defense. Take action with internal resources and strategy. Defend reputation against regular attacks; manage expectations for changing stakeholder dynamic or group's influence in the community. Measure and report on activity regularly.</t>
  </si>
  <si>
    <t>Challenge Stakeholder. Implement plan to challenge misinformation; reduce stakeholder's ability to destabilize the business or challenge brand identity and reputation.</t>
  </si>
  <si>
    <t>React To Issues Or Conflict. Work to neutralize threat; educate stakeholder; resolve or minimize the stakeholder's ability or willingness to maintain conflict. Assign internal staff, team, or working group to execute response.</t>
  </si>
  <si>
    <t>Winnable</t>
  </si>
  <si>
    <t>Plan Ahead, Listen. Map stakeholder and plan to respond in the event of change; assign internal staff, team, or working group to execute plan if necessary.</t>
  </si>
  <si>
    <t>Take Steps To Introduce Our Vision And Values. Take simple steps to engage; educate and create awareness about the business; look for ways to increase alignment and the stakeholder's influence over time.</t>
  </si>
  <si>
    <t>Prioritize Resources Elsewhere. Take no action. Prioritize time and resources elsewhere but monitor for any negative changes in alignment or improved influence in the community over time.</t>
  </si>
  <si>
    <t>Understand Needs, Work Towards Common Purpose. Build greater understanding between our company and stakeholder groups; look for opportunities to continue education and alignment that could lead to improved collaboration or affinity toward the business.</t>
  </si>
  <si>
    <t>Positive</t>
  </si>
  <si>
    <t>Existing Alignment Produces Some Favorable Outcomes. Some value already exists and should continue with moderate level of commitment; maintain existing level of relationship.</t>
  </si>
  <si>
    <t>Investing In Relationship Will Improve Our Business Or Reputation. Commitment important to our business; establish opportunities to work together and reap mutual benefits; leverage stakeholder's influence to increase our reputation.</t>
  </si>
  <si>
    <t>Stakeholder Important To Our Business Success. Stakeholder is an important surrogate, ally, or business partner. Investing in and growing this relationship proactively supports and defends the business and increases our reputation. Prioritize collaboration and deploying engagement strategies.</t>
  </si>
  <si>
    <t>Shared Value Introduced. Moderate shared value introduced; investing and growing this relationship produces value for our business and increases our reputation. Prioritize collaboration and engaging the stakeholder often to meet business and advocacy goals.</t>
  </si>
  <si>
    <t>Shared Value Created. Shared value created. Formalize a working relationship or partnership with the stakeholder to produce and measure shared value; relationship grows the business, increases our reputation, and produces solutions.</t>
  </si>
  <si>
    <t>Categories and audience types</t>
  </si>
  <si>
    <t>Communities</t>
  </si>
  <si>
    <t>Government</t>
  </si>
  <si>
    <t>Our People</t>
  </si>
  <si>
    <t>Industry</t>
  </si>
  <si>
    <t>Consumers</t>
  </si>
  <si>
    <t>Investors</t>
  </si>
  <si>
    <t>Charity Organization</t>
  </si>
  <si>
    <t>Agency (Inspector)</t>
  </si>
  <si>
    <t>Community Outreach Lead</t>
  </si>
  <si>
    <t>Competition</t>
  </si>
  <si>
    <t>Industry Consumers</t>
  </si>
  <si>
    <t>Board Member</t>
  </si>
  <si>
    <t>Church</t>
  </si>
  <si>
    <t>Agency (Permit Writer)</t>
  </si>
  <si>
    <t>Diversity &amp; Inclusion Lead</t>
  </si>
  <si>
    <t>Supply Chain</t>
  </si>
  <si>
    <t>Current Customers</t>
  </si>
  <si>
    <t>Shareholder</t>
  </si>
  <si>
    <t>Community Alliance</t>
  </si>
  <si>
    <t>City Council Member</t>
  </si>
  <si>
    <t>Executive</t>
  </si>
  <si>
    <t>Trade Association</t>
  </si>
  <si>
    <t>Future Customers</t>
  </si>
  <si>
    <t>Activist Shareholder</t>
  </si>
  <si>
    <t>Higher Education</t>
  </si>
  <si>
    <t>City Government</t>
  </si>
  <si>
    <t>General Employee</t>
  </si>
  <si>
    <t>Channel Partners</t>
  </si>
  <si>
    <t>Lost Customers</t>
  </si>
  <si>
    <t>General Public Investor</t>
  </si>
  <si>
    <t>K-12 Educator</t>
  </si>
  <si>
    <t>County Government</t>
  </si>
  <si>
    <t>Former Employee</t>
  </si>
  <si>
    <t>Industry Analysts</t>
  </si>
  <si>
    <t>Local Business</t>
  </si>
  <si>
    <t>County Supervisor</t>
  </si>
  <si>
    <t>Contractor</t>
  </si>
  <si>
    <t>Business Coalition</t>
  </si>
  <si>
    <t>Media</t>
  </si>
  <si>
    <t>Governor's Office</t>
  </si>
  <si>
    <t>Operations Manager</t>
  </si>
  <si>
    <t>Economic Development</t>
  </si>
  <si>
    <t>Military Branch</t>
  </si>
  <si>
    <t>Judicial</t>
  </si>
  <si>
    <t>Marketing Manager</t>
  </si>
  <si>
    <t>Labor Union</t>
  </si>
  <si>
    <t>Neighbor</t>
  </si>
  <si>
    <t>Mayor</t>
  </si>
  <si>
    <t>Sales Manager</t>
  </si>
  <si>
    <t>NGO</t>
  </si>
  <si>
    <t>Regulator (Federal)</t>
  </si>
  <si>
    <t>Retiree</t>
  </si>
  <si>
    <t>Tribes</t>
  </si>
  <si>
    <t>Regulator (State)</t>
  </si>
  <si>
    <t>Veterans</t>
  </si>
  <si>
    <t>Regulator (Local)</t>
  </si>
  <si>
    <t>Youth Program</t>
  </si>
  <si>
    <t>State Representative</t>
  </si>
  <si>
    <t>Activist Organization</t>
  </si>
  <si>
    <t>State Senate</t>
  </si>
  <si>
    <t>Activist Member</t>
  </si>
  <si>
    <t>US Congress</t>
  </si>
  <si>
    <t>General Public</t>
  </si>
  <si>
    <t>US Senate</t>
  </si>
  <si>
    <t>How scores become coordinates</t>
  </si>
  <si>
    <t>On the Scoring tab, every teammate rates each stakeholder on x and y from minus 10 to 10. Each teammate also has a weight. The final coordinate is the weighted average of their scores. A teammate with weight 1.5 counts 1.5 times more than one with weight 1.0.</t>
  </si>
  <si>
    <t>final.x = sum(member.x × member.weight) / sum(member.weight)      final.y = sum(member.y × member.weight) / sum(member.weight)      zone = lookup(final.x, final.y)</t>
  </si>
  <si>
    <t>#</t>
  </si>
  <si>
    <t>Stakeholder (from Workspace)</t>
  </si>
  <si>
    <t>Alex Rivera</t>
  </si>
  <si>
    <t>Jordan Kim</t>
  </si>
  <si>
    <t>Sam Okafor</t>
  </si>
  <si>
    <t>Priya Patel</t>
  </si>
  <si>
    <t>Devon Wright</t>
  </si>
  <si>
    <t>Weighted X</t>
  </si>
  <si>
    <t>Weighted Y</t>
  </si>
  <si>
    <t>Weights →</t>
  </si>
  <si>
    <t>Sum w</t>
  </si>
  <si>
    <t>Stakeholder</t>
  </si>
  <si>
    <t>x</t>
  </si>
  <si>
    <t>y</t>
  </si>
  <si>
    <t>Organization</t>
  </si>
  <si>
    <t>Category</t>
  </si>
  <si>
    <t>Type</t>
  </si>
  <si>
    <t>Market</t>
  </si>
  <si>
    <t>Region</t>
  </si>
  <si>
    <t>Geography</t>
  </si>
  <si>
    <t>State</t>
  </si>
  <si>
    <t>Site</t>
  </si>
  <si>
    <t>Priority</t>
  </si>
  <si>
    <t>Relationship</t>
  </si>
  <si>
    <t>Status</t>
  </si>
  <si>
    <t>Notes</t>
  </si>
  <si>
    <t>xBand</t>
  </si>
  <si>
    <t>yBand</t>
  </si>
  <si>
    <t>Mayor Maria Chen</t>
  </si>
  <si>
    <t>City of Cedarville</t>
  </si>
  <si>
    <t>Americas</t>
  </si>
  <si>
    <t>United States</t>
  </si>
  <si>
    <t>Local</t>
  </si>
  <si>
    <t>California</t>
  </si>
  <si>
    <t>Palo Alto, CA</t>
  </si>
  <si>
    <t>High</t>
  </si>
  <si>
    <t>Active</t>
  </si>
  <si>
    <t>Generally supportive; cares about local jobs and waterfront access.</t>
  </si>
  <si>
    <t>Cedarville Chamber</t>
  </si>
  <si>
    <t>Medium</t>
  </si>
  <si>
    <t>Strong partner on workforce initiatives.</t>
  </si>
  <si>
    <t>Riverside Tribune</t>
  </si>
  <si>
    <t>Beat reporter looking for new angles on emissions story.</t>
  </si>
  <si>
    <t>Local 412 Steelworkers</t>
  </si>
  <si>
    <t>Oregon</t>
  </si>
  <si>
    <t>Corvallis, OR</t>
  </si>
  <si>
    <t>Contract negotiations open in Q3.</t>
  </si>
  <si>
    <t>Rep. James Park</t>
  </si>
  <si>
    <t>US House of Representatives</t>
  </si>
  <si>
    <t>Federal</t>
  </si>
  <si>
    <t>Supportive on permitting reform.</t>
  </si>
  <si>
    <t>Save Our River Coalition</t>
  </si>
  <si>
    <t>Watch</t>
  </si>
  <si>
    <t>Filed FOIA on discharge permits in March.</t>
  </si>
  <si>
    <t>State EPA</t>
  </si>
  <si>
    <t>Air-permit renewal in review.</t>
  </si>
  <si>
    <t>Pinewood Schools</t>
  </si>
  <si>
    <t>Washington</t>
  </si>
  <si>
    <t>Vancouver, WA</t>
  </si>
  <si>
    <t>STEM partnership renewing this fall.</t>
  </si>
  <si>
    <t>First Methodist</t>
  </si>
  <si>
    <t>Low</t>
  </si>
  <si>
    <t>Dormant</t>
  </si>
  <si>
    <t>Pastor open to facility tours.</t>
  </si>
  <si>
    <t>VFW Post 117</t>
  </si>
  <si>
    <t>Hosted community day in April.</t>
  </si>
  <si>
    <t>Riverbend Hospital Board</t>
  </si>
  <si>
    <t>Quarterly briefing scheduled.</t>
  </si>
  <si>
    <t>Helios Capital</t>
  </si>
  <si>
    <t>National (all)</t>
  </si>
  <si>
    <t>Submitted proxy proposal on board composition.</t>
  </si>
  <si>
    <t>Bayside Distribution</t>
  </si>
  <si>
    <t>Renewing distribution contract.</t>
  </si>
  <si>
    <t>Sarah Voss</t>
  </si>
  <si>
    <t>Internal Operations</t>
  </si>
  <si>
    <t>VP Ops; champion for plant modernization.</t>
  </si>
  <si>
    <t>Cedar Valley Tribes Council</t>
  </si>
  <si>
    <t>Consultation on watershed plan ongoing.</t>
  </si>
  <si>
    <t>County Supervisor Elena Reyes</t>
  </si>
  <si>
    <t>Cedarville County</t>
  </si>
  <si>
    <t>Texas</t>
  </si>
  <si>
    <t>Houston, TX</t>
  </si>
  <si>
    <t>Up for re-election in November.</t>
  </si>
  <si>
    <t>European Commission DG ENV</t>
  </si>
  <si>
    <t>EMEA</t>
  </si>
  <si>
    <t>Europe</t>
  </si>
  <si>
    <t>Sustainability disclosure rules in consultation.</t>
  </si>
  <si>
    <t>BUND Germany</t>
  </si>
  <si>
    <t>Coalition partner on packaging directive.</t>
  </si>
  <si>
    <t>DigitalEurope</t>
  </si>
  <si>
    <t>Working group lead on AI Act compliance.</t>
  </si>
  <si>
    <t>Brazilian E-Waste Coalition</t>
  </si>
  <si>
    <t>LATAM</t>
  </si>
  <si>
    <t>Brazil</t>
  </si>
  <si>
    <t>Supplies take-back program partner.</t>
  </si>
  <si>
    <t>STAKEHOLDR MAP</t>
  </si>
  <si>
    <t>Focus a stakeholder (Excel can't hover the map, so pick one here to isolate its zone and recommendation):</t>
  </si>
  <si>
    <t>IMPACT ON THE BUSINESS ▶</t>
  </si>
  <si>
    <t>x &lt; -5</t>
  </si>
  <si>
    <t>-5 to 0</t>
  </si>
  <si>
    <t>0 to 5</t>
  </si>
  <si>
    <t>x &gt; 5</t>
  </si>
  <si>
    <t>Recommendation</t>
  </si>
  <si>
    <t>INFLUENCE IN THE COMMUNITY ▲</t>
  </si>
  <si>
    <t>y &gt; 5</t>
  </si>
  <si>
    <t>2.5 to 5</t>
  </si>
  <si>
    <t>0 to 2.5</t>
  </si>
  <si>
    <t>-2.5 to 0</t>
  </si>
  <si>
    <t>-5 to -2.5</t>
  </si>
  <si>
    <t>y &lt; -5</t>
  </si>
  <si>
    <t>↑ Greater community influence  ·  ↓ Less community influence</t>
  </si>
  <si>
    <t>Address Key Influencer: Launch plan to neutralize a major threat to the industry or company's license to operate; leverage reputation, resources, subject-matter experts, and other allied stakeholders to win. Measure and report on activity often.</t>
  </si>
  <si>
    <t>Canada</t>
  </si>
  <si>
    <t>Neutralize Threat: Defend license to operate. Defend reputation against regular attacks from stakeholders with high influence who are unlikely to move toward positive support; discredit message or position. Measure and report on activity often.</t>
  </si>
  <si>
    <t>Mexico</t>
  </si>
  <si>
    <t>Mobilize Defense: Take action with internal resources and strategy. Defend reputation against regular attacks; manage expectations for changing stakeholder dynamic or group's influence in the community. Measure and report on activity regularly.</t>
  </si>
  <si>
    <t>APJ</t>
  </si>
  <si>
    <t>Inactive</t>
  </si>
  <si>
    <t>Challenge Stakeholder: Implement plan to challenge misinformation; reduce stakeholder's ability to destabilize the business or challenge brand identity and reputation.</t>
  </si>
  <si>
    <t>Other Countries</t>
  </si>
  <si>
    <t>React To Issues Or Conflict: Work to neutralize threat; educate stakeholder; resolve or minimize the stakeholder's ability or willingness to maintain conflict. Assign internal staff, team, or working group to execute response.</t>
  </si>
  <si>
    <t>Plan Ahead, Listen: Map stakeholder and plan to respond in the event of change; assign internal staff, team, or working group to execute plan if necessary.</t>
  </si>
  <si>
    <t>Middle East</t>
  </si>
  <si>
    <t>Take Steps To Introduce Our Vision And Values: Take simple steps to engage; educate and create awareness about the business; look for ways to increase alignment and the stakeholder's influence over time.</t>
  </si>
  <si>
    <t>Africa</t>
  </si>
  <si>
    <t>Prioritize Resources Elsewhere: Take no action. Prioritize time and resources elsewhere but monitor for any negative changes in alignment or improved influence in the community over time.</t>
  </si>
  <si>
    <t>Emerging APAC</t>
  </si>
  <si>
    <t>Understand Needs, Work Towards Common Purpose: Build greater understanding between our company and stakeholder groups; look for opportunities to continue education and alignment that could lead to improved collaboration or affinity toward the business.</t>
  </si>
  <si>
    <t>Japan</t>
  </si>
  <si>
    <t>Existing Alignment Produces Some Favorable Outcomes: Some value already exists and should continue with moderate level of commitment; maintain existing level of relationship.</t>
  </si>
  <si>
    <t>Investing In Relationship Will Improve Our Business Or Reputation: Commitment important to our business; establish opportunities to work together and reap mutual benefits; leverage stakeholder's influence to increase our reputation.</t>
  </si>
  <si>
    <t>Stakeholder Important To Our Business Success: Stakeholder is an important surrogate, ally, or business partner. Investing in and growing this relationship proactively supports and defends the business and increases our reputation. Prioritize collaboration and deploying engagement strategies.</t>
  </si>
  <si>
    <t>Shared Value Introduced: Moderate shared value introduced; investing and growing this relationship produces value for our business and increases our reputation. Prioritize collaboration and engaging the stakeholder often to meet business and advocacy goals.</t>
  </si>
  <si>
    <t>Shared Value Created: Shared value created. Formalize a working relationship or partnership with the stakeholder to produce and measure shared value; relationship grows the business, increases our reputation, and produces solutions.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</si>
</sst>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29" x14ac:knownFonts="1">
    <font>
      <color theme="1"/>
      <family val="2"/>
      <scheme val="minor"/>
      <sz val="11"/>
      <name val="Calibri"/>
    </font>
    <font>
      <b/>
      <color rgb="FF3D3B39"/>
      <sz val="28"/>
      <name val="Newsreader"/>
    </font>
    <font>
      <i/>
      <color rgb="FF666361"/>
      <sz val="14"/>
      <name val="Newsreader"/>
    </font>
    <font>
      <color rgb="FF3D3B39"/>
      <sz val="16"/>
      <name val="Newsreader"/>
    </font>
    <font>
      <b/>
      <color rgb="FF7A4A14"/>
      <sz val="11"/>
      <name val="Inter"/>
    </font>
    <font>
      <color rgb="FF666361"/>
      <sz val="11"/>
      <name val="Inter"/>
    </font>
    <font>
      <b/>
      <color rgb="FF3D3B39"/>
      <sz val="11"/>
      <name val="Inter"/>
    </font>
    <font>
      <b/>
      <color rgb="FFFFFFFF"/>
      <sz val="9"/>
      <name val="Inter"/>
    </font>
    <font>
      <b/>
      <color rgb="FF7A2424"/>
      <sz val="9"/>
      <name val="Inter"/>
    </font>
    <font>
      <b/>
      <color rgb="FF7A4A14"/>
      <sz val="9"/>
      <name val="Inter"/>
    </font>
    <font>
      <b/>
      <color rgb="FF2F5A26"/>
      <sz val="9"/>
      <name val="Inter"/>
    </font>
    <font>
      <b/>
      <color rgb="FFB33C3C"/>
      <sz val="10"/>
      <name val="Inter"/>
    </font>
    <font>
      <b/>
      <color rgb="FFB07E1F"/>
      <sz val="10"/>
      <name val="Inter"/>
    </font>
    <font>
      <b/>
      <color rgb="FF3E7A2E"/>
      <sz val="10"/>
      <name val="Inter"/>
    </font>
    <font>
      <b/>
      <color rgb="FFFFFFFF"/>
      <sz val="10"/>
      <name val="Inter"/>
    </font>
    <font>
      <b/>
      <color rgb="FF7A2424"/>
      <sz val="10"/>
      <name val="Inter"/>
    </font>
    <font>
      <b/>
      <color rgb="FF2F5A26"/>
      <sz val="10"/>
      <name val="Inter"/>
    </font>
    <font>
      <b/>
      <color rgb="FF7A4A14"/>
      <sz val="10"/>
      <name val="Inter"/>
    </font>
    <font>
      <i/>
      <color rgb="FFABA9A4"/>
      <sz val="11"/>
      <name val="Inter"/>
    </font>
    <font>
      <b/>
      <color rgb="FFFFFFFF"/>
      <sz val="11"/>
      <name val="Inter"/>
    </font>
    <font>
      <b/>
      <color rgb="FFB33C3C"/>
      <sz val="11"/>
      <name val="Inter"/>
    </font>
    <font>
      <b/>
      <color rgb="FF7A2424"/>
      <sz val="11"/>
      <name val="Inter"/>
    </font>
    <font>
      <b/>
      <color rgb="FFB07E1F"/>
      <sz val="11"/>
      <name val="Inter"/>
    </font>
    <font>
      <b/>
      <color rgb="FF2F5A26"/>
      <sz val="11"/>
      <name val="Inter"/>
    </font>
    <font>
      <b/>
      <color rgb="FF3E7A2E"/>
      <sz val="11"/>
      <name val="Inter"/>
    </font>
    <font>
      <b/>
      <color rgb="FF3B6EA5"/>
      <sz val="11"/>
      <name val="Inter"/>
    </font>
    <font>
      <b/>
      <color rgb="FF3D3B39"/>
      <sz val="18"/>
      <name val="Newsreader"/>
    </font>
    <font>
      <b/>
      <color rgb="FF666361"/>
      <sz val="11"/>
      <name val="Inter"/>
    </font>
    <font>
      <b/>
      <color rgb="FFABA9A4"/>
      <sz val="11"/>
      <name val="Inter"/>
    </font>
  </fonts>
  <fills count="22">
    <fill>
      <patternFill patternType="none"/>
    </fill>
    <fill>
      <patternFill patternType="gray125"/>
    </fill>
    <fill>
      <patternFill patternType="solid">
        <fgColor rgb="FFE2A85F"/>
      </patternFill>
    </fill>
    <fill>
      <patternFill patternType="solid">
        <fgColor rgb="FFF0C988"/>
      </patternFill>
    </fill>
    <fill>
      <patternFill patternType="solid">
        <fgColor rgb="FFF8E2B0"/>
      </patternFill>
    </fill>
    <fill>
      <patternFill patternType="solid">
        <fgColor rgb="FFD26A6A"/>
      </patternFill>
    </fill>
    <fill>
      <patternFill patternType="solid">
        <fgColor rgb="FFE29A9A"/>
      </patternFill>
    </fill>
    <fill>
      <patternFill patternType="solid">
        <fgColor rgb="FFEFBEBE"/>
      </patternFill>
    </fill>
    <fill>
      <patternFill patternType="solid">
        <fgColor rgb="FFF4D6D6"/>
      </patternFill>
    </fill>
    <fill>
      <patternFill patternType="solid">
        <fgColor rgb="FFF8E4E4"/>
      </patternFill>
    </fill>
    <fill>
      <patternFill patternType="solid">
        <fgColor rgb="FFF4DBB0"/>
      </patternFill>
    </fill>
    <fill>
      <patternFill patternType="solid">
        <fgColor rgb="FFF9E4BD"/>
      </patternFill>
    </fill>
    <fill>
      <patternFill patternType="solid">
        <fgColor rgb="FFFCEFD1"/>
      </patternFill>
    </fill>
    <fill>
      <patternFill patternType="solid">
        <fgColor rgb="FFFAEACA"/>
      </patternFill>
    </fill>
    <fill>
      <patternFill patternType="solid">
        <fgColor rgb="FFDDE7C2"/>
      </patternFill>
    </fill>
    <fill>
      <patternFill patternType="solid">
        <fgColor rgb="FFC2D9A4"/>
      </patternFill>
    </fill>
    <fill>
      <patternFill patternType="solid">
        <fgColor rgb="FFB1CF92"/>
      </patternFill>
    </fill>
    <fill>
      <patternFill patternType="solid">
        <fgColor rgb="FF97C57A"/>
      </patternFill>
    </fill>
    <fill>
      <patternFill patternType="solid">
        <fgColor rgb="FF74B556"/>
      </patternFill>
    </fill>
    <fill>
      <patternFill patternType="solid">
        <fgColor rgb="FFF8F7F3"/>
      </patternFill>
    </fill>
    <fill>
      <patternFill patternType="solid">
        <fgColor rgb="FFF0EEE6"/>
      </patternFill>
    </fill>
    <fill>
      <patternFill patternType="solid">
        <fgColor rgb="FFFFFFFF"/>
      </patternFill>
    </fill>
  </fills>
  <borders count="10">
    <border>
      <left/>
      <right/>
      <top/>
      <bottom/>
      <diagonal/>
    </border>
    <border>
      <left style="medium">
        <color rgb="FFB33C3C"/>
      </left>
      <right/>
      <top style="thin">
        <color rgb="FFB33C3C"/>
      </top>
      <bottom/>
      <diagonal/>
    </border>
    <border>
      <left style="medium">
        <color rgb="FFB07E1F"/>
      </left>
      <right/>
      <top style="thin">
        <color rgb="FFB07E1F"/>
      </top>
      <bottom/>
      <diagonal/>
    </border>
    <border>
      <left style="medium">
        <color rgb="FF3E7A2E"/>
      </left>
      <right/>
      <top style="thin">
        <color rgb="FF3E7A2E"/>
      </top>
      <bottom/>
      <diagonal/>
    </border>
    <border>
      <left style="medium">
        <color rgb="FFB33C3C"/>
      </left>
      <right/>
      <top/>
      <bottom/>
      <diagonal/>
    </border>
    <border>
      <left style="medium">
        <color rgb="FFB07E1F"/>
      </left>
      <right/>
      <top/>
      <bottom/>
      <diagonal/>
    </border>
    <border>
      <left style="medium">
        <color rgb="FF3E7A2E"/>
      </left>
      <right/>
      <top/>
      <bottom/>
      <diagonal/>
    </border>
    <border>
      <left style="thin">
        <color rgb="FFE8E6DE"/>
      </left>
      <right style="thin">
        <color rgb="FFE8E6DE"/>
      </right>
      <top style="thin">
        <color rgb="FFE8E6DE"/>
      </top>
      <bottom style="thin">
        <color rgb="FFE8E6DE"/>
      </bottom>
      <diagonal/>
    </border>
    <border>
      <left/>
      <right/>
      <top/>
      <bottom style="thin">
        <color rgb="FFE8E6DE"/>
      </bottom>
      <diagonal/>
    </border>
    <border>
      <left style="medium">
        <color rgb="FF3B6EA5"/>
      </left>
      <right style="medium">
        <color rgb="FF3B6EA5"/>
      </right>
      <top style="medium">
        <color rgb="FF3B6EA5"/>
      </top>
      <bottom style="medium">
        <color rgb="FF3B6EA5"/>
      </bottom>
      <diagonal/>
    </border>
  </borders>
  <cellStyleXfs count="1">
    <xf numFmtId="0" fontId="0" fillId="0" borderId="0"/>
  </cellStyleXfs>
  <cellXfs count="104">
    <xf numFmtId="0" fontId="0" fillId="0" borderId="0" xfId="0"/>
    <xf numFmtId="0" fontId="1" fillId="0" borderId="0" xfId="0" applyFont="1"/>
    <xf numFmtId="0" fontId="2" fillId="0" borderId="0" xfId="0" applyFont="1" applyAlignment="1">
      <alignment vertical="center" wrapText="1"/>
    </xf>
    <xf numFmtId="0" fontId="3" fillId="0" borderId="0" xfId="0" applyFont="1"/>
    <xf numFmtId="0" fontId="4" fillId="2" borderId="0" xfId="0" applyFont="1" applyFill="1" applyAlignment="1">
      <alignment horizontal="center" vertical="center"/>
    </xf>
    <xf numFmtId="0" fontId="4" fillId="3" borderId="0" xfId="0" applyFont="1" applyFill="1" applyAlignment="1">
      <alignment horizontal="center" vertical="center"/>
    </xf>
    <xf numFmtId="0" fontId="4" fillId="4" borderId="0" xfId="0" applyFont="1" applyFill="1" applyAlignment="1">
      <alignment horizontal="center" vertical="center"/>
    </xf>
    <xf numFmtId="0" fontId="5" fillId="0" borderId="0" xfId="0" applyFont="1" applyAlignment="1">
      <alignment vertical="top" wrapText="1"/>
    </xf>
    <xf numFmtId="0" fontId="6" fillId="0" borderId="0" xfId="0" applyFont="1"/>
    <xf numFmtId="0" fontId="7" fillId="5" borderId="0" xfId="0" applyFont="1" applyFill="1" applyAlignment="1">
      <alignment horizontal="center" vertical="center" wrapText="1"/>
    </xf>
    <xf numFmtId="0" fontId="8" fillId="6" borderId="0" xfId="0" applyFont="1" applyFill="1" applyAlignment="1">
      <alignment horizontal="center" vertical="center" wrapText="1"/>
    </xf>
    <xf numFmtId="0" fontId="8" fillId="7" borderId="0" xfId="0" applyFont="1" applyFill="1" applyAlignment="1">
      <alignment horizontal="center" vertical="center" wrapText="1"/>
    </xf>
    <xf numFmtId="0" fontId="8" fillId="8" borderId="0" xfId="0" applyFont="1" applyFill="1" applyAlignment="1">
      <alignment horizontal="center" vertical="center" wrapText="1"/>
    </xf>
    <xf numFmtId="0" fontId="8" fillId="9" borderId="0" xfId="0" applyFont="1" applyFill="1" applyAlignment="1">
      <alignment horizontal="center" vertical="center" wrapText="1"/>
    </xf>
    <xf numFmtId="0" fontId="9" fillId="10" borderId="0" xfId="0" applyFont="1" applyFill="1" applyAlignment="1">
      <alignment horizontal="center" vertical="center" wrapText="1"/>
    </xf>
    <xf numFmtId="0" fontId="9" fillId="11" borderId="0" xfId="0" applyFont="1" applyFill="1" applyAlignment="1">
      <alignment horizontal="center" vertical="center" wrapText="1"/>
    </xf>
    <xf numFmtId="0" fontId="9" fillId="12" borderId="0" xfId="0" applyFont="1" applyFill="1" applyAlignment="1">
      <alignment horizontal="center" vertical="center" wrapText="1"/>
    </xf>
    <xf numFmtId="0" fontId="9" fillId="13" borderId="0" xfId="0" applyFont="1" applyFill="1" applyAlignment="1">
      <alignment horizontal="center" vertical="center" wrapText="1"/>
    </xf>
    <xf numFmtId="0" fontId="10" fillId="14" borderId="0" xfId="0" applyFont="1" applyFill="1" applyAlignment="1">
      <alignment horizontal="center" vertical="center" wrapText="1"/>
    </xf>
    <xf numFmtId="0" fontId="10" fillId="15" borderId="0" xfId="0" applyFont="1" applyFill="1" applyAlignment="1">
      <alignment horizontal="center" vertical="center" wrapText="1"/>
    </xf>
    <xf numFmtId="0" fontId="10" fillId="16" borderId="0" xfId="0" applyFont="1" applyFill="1" applyAlignment="1">
      <alignment horizontal="center" vertical="center" wrapText="1"/>
    </xf>
    <xf numFmtId="0" fontId="10" fillId="17" borderId="0" xfId="0" applyFont="1" applyFill="1" applyAlignment="1">
      <alignment horizontal="center" vertical="center" wrapText="1"/>
    </xf>
    <xf numFmtId="0" fontId="7" fillId="18" borderId="0" xfId="0" applyFont="1" applyFill="1" applyAlignment="1">
      <alignment horizontal="center" vertical="center" wrapText="1"/>
    </xf>
    <xf numFmtId="0" fontId="11" fillId="19" borderId="1" xfId="0" applyFont="1" applyFill="1" applyBorder="1" applyAlignment="1">
      <alignment horizontal="left" vertical="center" wrapText="1"/>
    </xf>
    <xf numFmtId="0" fontId="12" fillId="19" borderId="2" xfId="0" applyFont="1" applyFill="1" applyBorder="1" applyAlignment="1">
      <alignment horizontal="center" vertical="center" wrapText="1"/>
    </xf>
    <xf numFmtId="0" fontId="13" fillId="19" borderId="3" xfId="0" applyFont="1" applyFill="1" applyBorder="1" applyAlignment="1">
      <alignment horizontal="right" vertical="center" wrapText="1"/>
    </xf>
    <xf numFmtId="0" fontId="5" fillId="19" borderId="4" xfId="0" applyFont="1" applyFill="1" applyBorder="1" applyAlignment="1">
      <alignment horizontal="left" vertical="top" wrapText="1"/>
    </xf>
    <xf numFmtId="0" fontId="5" fillId="19" borderId="5" xfId="0" applyFont="1" applyFill="1" applyBorder="1" applyAlignment="1">
      <alignment horizontal="center" vertical="top" wrapText="1"/>
    </xf>
    <xf numFmtId="0" fontId="5" fillId="19" borderId="6" xfId="0" applyFont="1" applyFill="1" applyBorder="1" applyAlignment="1">
      <alignment horizontal="right" vertical="top" wrapText="1"/>
    </xf>
    <xf numFmtId="0" fontId="14" fillId="5" borderId="0" xfId="0" applyFont="1" applyFill="1" applyAlignment="1">
      <alignment horizontal="center" vertical="center" wrapText="1"/>
    </xf>
    <xf numFmtId="0" fontId="15" fillId="6" borderId="0" xfId="0" applyFont="1" applyFill="1" applyAlignment="1">
      <alignment horizontal="center" vertical="center" wrapText="1"/>
    </xf>
    <xf numFmtId="0" fontId="16" fillId="16" borderId="0" xfId="0" applyFont="1" applyFill="1" applyAlignment="1">
      <alignment horizontal="center" vertical="center" wrapText="1"/>
    </xf>
    <xf numFmtId="0" fontId="14" fillId="18" borderId="0" xfId="0" applyFont="1" applyFill="1" applyAlignment="1">
      <alignment horizontal="center" vertical="center" wrapText="1"/>
    </xf>
    <xf numFmtId="0" fontId="15" fillId="7" borderId="0" xfId="0" applyFont="1" applyFill="1" applyAlignment="1">
      <alignment horizontal="center" vertical="center" wrapText="1"/>
    </xf>
    <xf numFmtId="0" fontId="16" fillId="15" borderId="0" xfId="0" applyFont="1" applyFill="1" applyAlignment="1">
      <alignment horizontal="center" vertical="center" wrapText="1"/>
    </xf>
    <xf numFmtId="0" fontId="16" fillId="17" borderId="0" xfId="0" applyFont="1" applyFill="1" applyAlignment="1">
      <alignment horizontal="center" vertical="center" wrapText="1"/>
    </xf>
    <xf numFmtId="0" fontId="15" fillId="8" borderId="0" xfId="0" applyFont="1" applyFill="1" applyAlignment="1">
      <alignment horizontal="center" vertical="center" wrapText="1"/>
    </xf>
    <xf numFmtId="0" fontId="16" fillId="14" borderId="0" xfId="0" applyFont="1" applyFill="1" applyAlignment="1">
      <alignment horizontal="center" vertical="center" wrapText="1"/>
    </xf>
    <xf numFmtId="0" fontId="15" fillId="9" borderId="0" xfId="0" applyFont="1" applyFill="1" applyAlignment="1">
      <alignment horizontal="center" vertical="center" wrapText="1"/>
    </xf>
    <xf numFmtId="0" fontId="17" fillId="13" borderId="0" xfId="0" applyFont="1" applyFill="1" applyAlignment="1">
      <alignment horizontal="center" vertical="center" wrapText="1"/>
    </xf>
    <xf numFmtId="0" fontId="17" fillId="10" borderId="0" xfId="0" applyFont="1" applyFill="1" applyAlignment="1">
      <alignment horizontal="center" vertical="center" wrapText="1"/>
    </xf>
    <xf numFmtId="0" fontId="17" fillId="11" borderId="0" xfId="0" applyFont="1" applyFill="1" applyAlignment="1">
      <alignment horizontal="center" vertical="center" wrapText="1"/>
    </xf>
    <xf numFmtId="0" fontId="17" fillId="12" borderId="0" xfId="0" applyFont="1" applyFill="1" applyAlignment="1">
      <alignment horizontal="center" vertical="center" wrapText="1"/>
    </xf>
    <xf numFmtId="0" fontId="18" fillId="0" borderId="0" xfId="0" applyFont="1"/>
    <xf numFmtId="0" fontId="18" fillId="0" borderId="0" xfId="0" applyFont="1" applyAlignment="1">
      <alignment horizontal="center"/>
    </xf>
    <xf numFmtId="0" fontId="18" fillId="0" borderId="0" xfId="0" applyFont="1" applyAlignment="1">
      <alignment horizontal="right"/>
    </xf>
    <xf numFmtId="0" fontId="6" fillId="20" borderId="7" xfId="0" applyFont="1" applyFill="1" applyBorder="1"/>
    <xf numFmtId="0" fontId="19" fillId="5" borderId="7" xfId="0" applyFont="1" applyFill="1" applyBorder="1" applyAlignment="1">
      <alignment vertical="center" wrapText="1"/>
    </xf>
    <xf numFmtId="0" fontId="20" fillId="0" borderId="7" xfId="0" applyFont="1" applyBorder="1" applyAlignment="1">
      <alignment vertical="center"/>
    </xf>
    <xf numFmtId="0" fontId="5" fillId="0" borderId="7" xfId="0" applyFont="1" applyBorder="1" applyAlignment="1">
      <alignment vertical="top" wrapText="1"/>
    </xf>
    <xf numFmtId="0" fontId="21" fillId="6" borderId="7" xfId="0" applyFont="1" applyFill="1" applyBorder="1" applyAlignment="1">
      <alignment vertical="center" wrapText="1"/>
    </xf>
    <xf numFmtId="0" fontId="21" fillId="7" borderId="7" xfId="0" applyFont="1" applyFill="1" applyBorder="1" applyAlignment="1">
      <alignment vertical="center" wrapText="1"/>
    </xf>
    <xf numFmtId="0" fontId="21" fillId="8" borderId="7" xfId="0" applyFont="1" applyFill="1" applyBorder="1" applyAlignment="1">
      <alignment vertical="center" wrapText="1"/>
    </xf>
    <xf numFmtId="0" fontId="21" fillId="9" borderId="7" xfId="0" applyFont="1" applyFill="1" applyBorder="1" applyAlignment="1">
      <alignment vertical="center" wrapText="1"/>
    </xf>
    <xf numFmtId="0" fontId="4" fillId="10" borderId="7" xfId="0" applyFont="1" applyFill="1" applyBorder="1" applyAlignment="1">
      <alignment vertical="center" wrapText="1"/>
    </xf>
    <xf numFmtId="0" fontId="22" fillId="0" borderId="7" xfId="0" applyFont="1" applyBorder="1" applyAlignment="1">
      <alignment vertical="center"/>
    </xf>
    <xf numFmtId="0" fontId="4" fillId="11" borderId="7" xfId="0" applyFont="1" applyFill="1" applyBorder="1" applyAlignment="1">
      <alignment vertical="center" wrapText="1"/>
    </xf>
    <xf numFmtId="0" fontId="4" fillId="12" borderId="7" xfId="0" applyFont="1" applyFill="1" applyBorder="1" applyAlignment="1">
      <alignment vertical="center" wrapText="1"/>
    </xf>
    <xf numFmtId="0" fontId="4" fillId="13" borderId="7" xfId="0" applyFont="1" applyFill="1" applyBorder="1" applyAlignment="1">
      <alignment vertical="center" wrapText="1"/>
    </xf>
    <xf numFmtId="0" fontId="23" fillId="14" borderId="7" xfId="0" applyFont="1" applyFill="1" applyBorder="1" applyAlignment="1">
      <alignment vertical="center" wrapText="1"/>
    </xf>
    <xf numFmtId="0" fontId="24" fillId="0" borderId="7" xfId="0" applyFont="1" applyBorder="1" applyAlignment="1">
      <alignment vertical="center"/>
    </xf>
    <xf numFmtId="0" fontId="23" fillId="15" borderId="7" xfId="0" applyFont="1" applyFill="1" applyBorder="1" applyAlignment="1">
      <alignment vertical="center" wrapText="1"/>
    </xf>
    <xf numFmtId="0" fontId="23" fillId="16" borderId="7" xfId="0" applyFont="1" applyFill="1" applyBorder="1" applyAlignment="1">
      <alignment vertical="center" wrapText="1"/>
    </xf>
    <xf numFmtId="0" fontId="23" fillId="17" borderId="7" xfId="0" applyFont="1" applyFill="1" applyBorder="1" applyAlignment="1">
      <alignment vertical="center" wrapText="1"/>
    </xf>
    <xf numFmtId="0" fontId="19" fillId="18" borderId="7" xfId="0" applyFont="1" applyFill="1" applyBorder="1" applyAlignment="1">
      <alignment vertical="center" wrapText="1"/>
    </xf>
    <xf numFmtId="0" fontId="6" fillId="20" borderId="7" xfId="0" applyFont="1" applyFill="1" applyBorder="1" applyAlignment="1">
      <alignment horizontal="center"/>
    </xf>
    <xf numFmtId="0" fontId="5" fillId="0" borderId="8" xfId="0" applyFont="1" applyBorder="1"/>
    <xf numFmtId="0" fontId="5" fillId="19" borderId="0" xfId="0" applyFont="1" applyFill="1" applyAlignment="1">
      <alignment vertical="center" wrapText="1"/>
    </xf>
    <xf numFmtId="0" fontId="6" fillId="20" borderId="7" xfId="0" applyFont="1" applyFill="1" applyBorder="1" applyAlignment="1">
      <alignment horizontal="center" vertical="center"/>
    </xf>
    <xf numFmtId="0" fontId="25" fillId="21" borderId="9" xfId="0" applyFont="1" applyFill="1" applyBorder="1" applyAlignment="1">
      <alignment horizontal="center"/>
    </xf>
    <xf numFmtId="164" fontId="0" fillId="0" borderId="0" xfId="0" applyNumberFormat="1"/>
    <xf numFmtId="0" fontId="6" fillId="20" borderId="7" xfId="0" applyFont="1" applyFill="1" applyBorder="1" applyAlignment="1">
      <alignment vertical="center"/>
    </xf>
    <xf numFmtId="164" fontId="6" fillId="20" borderId="7" xfId="0" applyNumberFormat="1" applyFont="1" applyFill="1" applyBorder="1" applyAlignment="1">
      <alignment vertical="center"/>
    </xf>
    <xf numFmtId="0" fontId="23" fillId="16" borderId="0" xfId="0" applyFont="1" applyFill="1"/>
    <xf numFmtId="0" fontId="23" fillId="17" borderId="0" xfId="0" applyFont="1" applyFill="1"/>
    <xf numFmtId="0" fontId="21" fillId="6" borderId="0" xfId="0" applyFont="1" applyFill="1"/>
    <xf numFmtId="0" fontId="19" fillId="18" borderId="0" xfId="0" applyFont="1" applyFill="1"/>
    <xf numFmtId="0" fontId="19" fillId="5" borderId="0" xfId="0" applyFont="1" applyFill="1"/>
    <xf numFmtId="0" fontId="23" fillId="15" borderId="0" xfId="0" applyFont="1" applyFill="1"/>
    <xf numFmtId="0" fontId="4" fillId="13" borderId="0" xfId="0" applyFont="1" applyFill="1"/>
    <xf numFmtId="0" fontId="21" fillId="7" borderId="0" xfId="0" applyFont="1" applyFill="1"/>
    <xf numFmtId="0" fontId="26" fillId="0" borderId="0" xfId="0" applyFont="1"/>
    <xf numFmtId="0" fontId="18" fillId="0" borderId="0" xfId="0" applyFont="1" applyAlignment="1">
      <alignment vertical="center" wrapText="1"/>
    </xf>
    <xf numFmtId="0" fontId="25" fillId="0" borderId="9" xfId="0" applyFont="1" applyBorder="1"/>
    <xf numFmtId="0" fontId="5" fillId="0" borderId="0" xfId="0" applyFont="1"/>
    <xf numFmtId="0" fontId="27" fillId="0" borderId="0" xfId="0" applyFont="1" applyAlignment="1">
      <alignment horizontal="center"/>
    </xf>
    <xf numFmtId="0" fontId="6" fillId="0" borderId="0" xfId="0" applyFont="1" applyAlignment="1">
      <alignment horizontal="center"/>
    </xf>
    <xf numFmtId="0" fontId="28" fillId="20" borderId="7" xfId="0" applyFont="1" applyFill="1" applyBorder="1" applyAlignment="1">
      <alignment horizontal="center"/>
    </xf>
    <xf numFmtId="0" fontId="6" fillId="0" borderId="0" xfId="0" applyFont="1" applyAlignment="1">
      <alignment horizontal="center" vertical="center" textRotation="90"/>
    </xf>
    <xf numFmtId="0" fontId="28" fillId="20" borderId="7" xfId="0" applyFont="1" applyFill="1" applyBorder="1" applyAlignment="1">
      <alignment horizontal="center" vertical="center"/>
    </xf>
    <xf numFmtId="0" fontId="19" fillId="5" borderId="7" xfId="0" applyFont="1" applyFill="1" applyBorder="1" applyAlignment="1">
      <alignment horizontal="left" vertical="top" wrapText="1"/>
    </xf>
    <xf numFmtId="0" fontId="21" fillId="6" borderId="7" xfId="0" applyFont="1" applyFill="1" applyBorder="1" applyAlignment="1">
      <alignment horizontal="left" vertical="top" wrapText="1"/>
    </xf>
    <xf numFmtId="0" fontId="23" fillId="16" borderId="7" xfId="0" applyFont="1" applyFill="1" applyBorder="1" applyAlignment="1">
      <alignment horizontal="left" vertical="top" wrapText="1"/>
    </xf>
    <xf numFmtId="0" fontId="19" fillId="18" borderId="7" xfId="0" applyFont="1" applyFill="1" applyBorder="1" applyAlignment="1">
      <alignment horizontal="left" vertical="top" wrapText="1"/>
    </xf>
    <xf numFmtId="0" fontId="21" fillId="7" borderId="7" xfId="0" applyFont="1" applyFill="1" applyBorder="1" applyAlignment="1">
      <alignment horizontal="left" vertical="top" wrapText="1"/>
    </xf>
    <xf numFmtId="0" fontId="23" fillId="15" borderId="7" xfId="0" applyFont="1" applyFill="1" applyBorder="1" applyAlignment="1">
      <alignment horizontal="left" vertical="top" wrapText="1"/>
    </xf>
    <xf numFmtId="0" fontId="23" fillId="17" borderId="7" xfId="0" applyFont="1" applyFill="1" applyBorder="1" applyAlignment="1">
      <alignment horizontal="left" vertical="top" wrapText="1"/>
    </xf>
    <xf numFmtId="0" fontId="21" fillId="8" borderId="7" xfId="0" applyFont="1" applyFill="1" applyBorder="1" applyAlignment="1">
      <alignment horizontal="left" vertical="top" wrapText="1"/>
    </xf>
    <xf numFmtId="0" fontId="23" fillId="14" borderId="7" xfId="0" applyFont="1" applyFill="1" applyBorder="1" applyAlignment="1">
      <alignment horizontal="left" vertical="top" wrapText="1"/>
    </xf>
    <xf numFmtId="0" fontId="21" fillId="9" borderId="7" xfId="0" applyFont="1" applyFill="1" applyBorder="1" applyAlignment="1">
      <alignment horizontal="left" vertical="top" wrapText="1"/>
    </xf>
    <xf numFmtId="0" fontId="4" fillId="13" borderId="7" xfId="0" applyFont="1" applyFill="1" applyBorder="1" applyAlignment="1">
      <alignment horizontal="left" vertical="top" wrapText="1"/>
    </xf>
    <xf numFmtId="0" fontId="4" fillId="10" borderId="7" xfId="0" applyFont="1" applyFill="1" applyBorder="1" applyAlignment="1">
      <alignment horizontal="left" vertical="top" wrapText="1"/>
    </xf>
    <xf numFmtId="0" fontId="4" fillId="11" borderId="7" xfId="0" applyFont="1" applyFill="1" applyBorder="1" applyAlignment="1">
      <alignment horizontal="left" vertical="top" wrapText="1"/>
    </xf>
    <xf numFmtId="0" fontId="4" fillId="12" borderId="7" xfId="0" applyFont="1" applyFill="1" applyBorder="1" applyAlignment="1">
      <alignment horizontal="left" vertical="top" wrapText="1"/>
    </xf>
  </cellXfs>
  <cellStyles count="1">
    <cellStyle name="Normal" xfId="0" builtinId="0"/>
  </cellStyles>
  <dxfs count="42">
    <dxf>
      <font>
        <b/>
        <color rgb="FFFFFFFF"/>
      </font>
      <fill>
        <patternFill patternType="solid">
          <bgColor rgb="FFD26A6A"/>
        </patternFill>
      </fill>
    </dxf>
    <dxf>
      <font>
        <b/>
        <color rgb="FF7A2424"/>
      </font>
      <fill>
        <patternFill patternType="solid">
          <bgColor rgb="FFE29A9A"/>
        </patternFill>
      </fill>
    </dxf>
    <dxf>
      <font>
        <b/>
        <color rgb="FF7A2424"/>
      </font>
      <fill>
        <patternFill patternType="solid">
          <bgColor rgb="FFEFBEBE"/>
        </patternFill>
      </fill>
    </dxf>
    <dxf>
      <font>
        <b/>
        <color rgb="FF7A2424"/>
      </font>
      <fill>
        <patternFill patternType="solid">
          <bgColor rgb="FFF4D6D6"/>
        </patternFill>
      </fill>
    </dxf>
    <dxf>
      <font>
        <b/>
        <color rgb="FF7A2424"/>
      </font>
      <fill>
        <patternFill patternType="solid">
          <bgColor rgb="FFF8E4E4"/>
        </patternFill>
      </fill>
    </dxf>
    <dxf>
      <font>
        <b/>
        <color rgb="FF7A4A14"/>
      </font>
      <fill>
        <patternFill patternType="solid">
          <bgColor rgb="FFF4DBB0"/>
        </patternFill>
      </fill>
    </dxf>
    <dxf>
      <font>
        <b/>
        <color rgb="FF7A4A14"/>
      </font>
      <fill>
        <patternFill patternType="solid">
          <bgColor rgb="FFF9E4BD"/>
        </patternFill>
      </fill>
    </dxf>
    <dxf>
      <font>
        <b/>
        <color rgb="FF7A4A14"/>
      </font>
      <fill>
        <patternFill patternType="solid">
          <bgColor rgb="FFFCEFD1"/>
        </patternFill>
      </fill>
    </dxf>
    <dxf>
      <font>
        <b/>
        <color rgb="FF7A4A14"/>
      </font>
      <fill>
        <patternFill patternType="solid">
          <bgColor rgb="FFFAEACA"/>
        </patternFill>
      </fill>
    </dxf>
    <dxf>
      <font>
        <b/>
        <color rgb="FF2F5A26"/>
      </font>
      <fill>
        <patternFill patternType="solid">
          <bgColor rgb="FFDDE7C2"/>
        </patternFill>
      </fill>
    </dxf>
    <dxf>
      <font>
        <b/>
        <color rgb="FF2F5A26"/>
      </font>
      <fill>
        <patternFill patternType="solid">
          <bgColor rgb="FFC2D9A4"/>
        </patternFill>
      </fill>
    </dxf>
    <dxf>
      <font>
        <b/>
        <color rgb="FF2F5A26"/>
      </font>
      <fill>
        <patternFill patternType="solid">
          <bgColor rgb="FFB1CF92"/>
        </patternFill>
      </fill>
    </dxf>
    <dxf>
      <font>
        <b/>
        <color rgb="FF2F5A26"/>
      </font>
      <fill>
        <patternFill patternType="solid">
          <bgColor rgb="FF97C57A"/>
        </patternFill>
      </fill>
    </dxf>
    <dxf>
      <font>
        <b/>
        <color rgb="FFFFFFFF"/>
      </font>
      <fill>
        <patternFill patternType="solid">
          <bgColor rgb="FF74B556"/>
        </patternFill>
      </fill>
    </dxf>
    <dxf>
      <font>
        <b/>
        <color rgb="FFFFFFFF"/>
      </font>
      <fill>
        <patternFill patternType="solid">
          <bgColor rgb="FFD26A6A"/>
        </patternFill>
      </fill>
    </dxf>
    <dxf>
      <font>
        <b/>
        <color rgb="FF7A2424"/>
      </font>
      <fill>
        <patternFill patternType="solid">
          <bgColor rgb="FFE29A9A"/>
        </patternFill>
      </fill>
    </dxf>
    <dxf>
      <font>
        <b/>
        <color rgb="FF7A2424"/>
      </font>
      <fill>
        <patternFill patternType="solid">
          <bgColor rgb="FFEFBEBE"/>
        </patternFill>
      </fill>
    </dxf>
    <dxf>
      <font>
        <b/>
        <color rgb="FF7A2424"/>
      </font>
      <fill>
        <patternFill patternType="solid">
          <bgColor rgb="FFF4D6D6"/>
        </patternFill>
      </fill>
    </dxf>
    <dxf>
      <font>
        <b/>
        <color rgb="FF7A2424"/>
      </font>
      <fill>
        <patternFill patternType="solid">
          <bgColor rgb="FFF8E4E4"/>
        </patternFill>
      </fill>
    </dxf>
    <dxf>
      <font>
        <b/>
        <color rgb="FF7A4A14"/>
      </font>
      <fill>
        <patternFill patternType="solid">
          <bgColor rgb="FFF4DBB0"/>
        </patternFill>
      </fill>
    </dxf>
    <dxf>
      <font>
        <b/>
        <color rgb="FF7A4A14"/>
      </font>
      <fill>
        <patternFill patternType="solid">
          <bgColor rgb="FFF9E4BD"/>
        </patternFill>
      </fill>
    </dxf>
    <dxf>
      <font>
        <b/>
        <color rgb="FF7A4A14"/>
      </font>
      <fill>
        <patternFill patternType="solid">
          <bgColor rgb="FFFCEFD1"/>
        </patternFill>
      </fill>
    </dxf>
    <dxf>
      <font>
        <b/>
        <color rgb="FF7A4A14"/>
      </font>
      <fill>
        <patternFill patternType="solid">
          <bgColor rgb="FFFAEACA"/>
        </patternFill>
      </fill>
    </dxf>
    <dxf>
      <font>
        <b/>
        <color rgb="FF2F5A26"/>
      </font>
      <fill>
        <patternFill patternType="solid">
          <bgColor rgb="FFDDE7C2"/>
        </patternFill>
      </fill>
    </dxf>
    <dxf>
      <font>
        <b/>
        <color rgb="FF2F5A26"/>
      </font>
      <fill>
        <patternFill patternType="solid">
          <bgColor rgb="FFC2D9A4"/>
        </patternFill>
      </fill>
    </dxf>
    <dxf>
      <font>
        <b/>
        <color rgb="FF2F5A26"/>
      </font>
      <fill>
        <patternFill patternType="solid">
          <bgColor rgb="FFB1CF92"/>
        </patternFill>
      </fill>
    </dxf>
    <dxf>
      <font>
        <b/>
        <color rgb="FF2F5A26"/>
      </font>
      <fill>
        <patternFill patternType="solid">
          <bgColor rgb="FF97C57A"/>
        </patternFill>
      </fill>
    </dxf>
    <dxf>
      <font>
        <b/>
        <color rgb="FFFFFFFF"/>
      </font>
      <fill>
        <patternFill patternType="solid">
          <bgColor rgb="FF74B556"/>
        </patternFill>
      </fill>
    </dxf>
    <dxf>
      <font>
        <b/>
        <color rgb="FFFFFFFF"/>
      </font>
      <fill>
        <patternFill patternType="solid">
          <bgColor rgb="FFD26A6A"/>
        </patternFill>
      </fill>
    </dxf>
    <dxf>
      <font>
        <b/>
        <color rgb="FF7A2424"/>
      </font>
      <fill>
        <patternFill patternType="solid">
          <bgColor rgb="FFE29A9A"/>
        </patternFill>
      </fill>
    </dxf>
    <dxf>
      <font>
        <b/>
        <color rgb="FF7A2424"/>
      </font>
      <fill>
        <patternFill patternType="solid">
          <bgColor rgb="FFEFBEBE"/>
        </patternFill>
      </fill>
    </dxf>
    <dxf>
      <font>
        <b/>
        <color rgb="FF7A2424"/>
      </font>
      <fill>
        <patternFill patternType="solid">
          <bgColor rgb="FFF4D6D6"/>
        </patternFill>
      </fill>
    </dxf>
    <dxf>
      <font>
        <b/>
        <color rgb="FF7A2424"/>
      </font>
      <fill>
        <patternFill patternType="solid">
          <bgColor rgb="FFF8E4E4"/>
        </patternFill>
      </fill>
    </dxf>
    <dxf>
      <font>
        <b/>
        <color rgb="FF7A4A14"/>
      </font>
      <fill>
        <patternFill patternType="solid">
          <bgColor rgb="FFF4DBB0"/>
        </patternFill>
      </fill>
    </dxf>
    <dxf>
      <font>
        <b/>
        <color rgb="FF7A4A14"/>
      </font>
      <fill>
        <patternFill patternType="solid">
          <bgColor rgb="FFF9E4BD"/>
        </patternFill>
      </fill>
    </dxf>
    <dxf>
      <font>
        <b/>
        <color rgb="FF7A4A14"/>
      </font>
      <fill>
        <patternFill patternType="solid">
          <bgColor rgb="FFFCEFD1"/>
        </patternFill>
      </fill>
    </dxf>
    <dxf>
      <font>
        <b/>
        <color rgb="FF7A4A14"/>
      </font>
      <fill>
        <patternFill patternType="solid">
          <bgColor rgb="FFFAEACA"/>
        </patternFill>
      </fill>
    </dxf>
    <dxf>
      <font>
        <b/>
        <color rgb="FF2F5A26"/>
      </font>
      <fill>
        <patternFill patternType="solid">
          <bgColor rgb="FFDDE7C2"/>
        </patternFill>
      </fill>
    </dxf>
    <dxf>
      <font>
        <b/>
        <color rgb="FF2F5A26"/>
      </font>
      <fill>
        <patternFill patternType="solid">
          <bgColor rgb="FFC2D9A4"/>
        </patternFill>
      </fill>
    </dxf>
    <dxf>
      <font>
        <b/>
        <color rgb="FF2F5A26"/>
      </font>
      <fill>
        <patternFill patternType="solid">
          <bgColor rgb="FFB1CF92"/>
        </patternFill>
      </fill>
    </dxf>
    <dxf>
      <font>
        <b/>
        <color rgb="FF2F5A26"/>
      </font>
      <fill>
        <patternFill patternType="solid">
          <bgColor rgb="FF97C57A"/>
        </patternFill>
      </fill>
    </dxf>
    <dxf>
      <font>
        <b/>
        <color rgb="FFFFFFFF"/>
      </font>
      <fill>
        <patternFill patternType="solid">
          <bgColor rgb="FF74B556"/>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c="http://schemas.openxmlformats.org/drawingml/2006/chart" xmlns:a="http://schemas.openxmlformats.org/drawingml/2006/main" xmlns:r="http://schemas.openxmlformats.org/officeDocument/2006/relationships" xmlns:c15="http://schemas.microsoft.com/office/drawing/2012/chart">
  <c:chart>
    <c:title>
      <c:tx>
        <c:rich>
          <a:bodyPr/>
          <a:p>
            <a:r>
              <a:t>Stakeholder Map</a:t>
            </a:r>
          </a:p>
        </c:rich>
      </c:tx>
      <c:overlay val="0"/>
    </c:title>
    <c:autoTitleDeleted val="0"/>
    <c:plotArea>
      <c:layout/>
      <c:scatterChart>
        <c:scatterStyle val="marker"/>
        <c:varyColors val="0"/>
        <c:ser>
          <c:idx val="0"/>
          <c:order val="0"/>
          <c:tx>
            <c:strRef>
              <c:f>Map!$A$1</c:f>
              <c:strCache>
                <c:ptCount val="1"/>
                <c:pt idx="0">
                  <c:v>Stakeholders</c:v>
                </c:pt>
              </c:strCache>
            </c:strRef>
          </c:tx>
          <c:spPr>
            <a:ln w="19050">
              <a:noFill/>
            </a:ln>
          </c:spPr>
          <c:marker>
            <c:symbol val="circle"/>
            <c:size val="7"/>
          </c:marker>
          <c:dPt>
            <c:idx val="0"/>
            <c:invertIfNegative val="0"/>
            <c:bubble3D val="0"/>
            <c:marker>
              <c:symbol val="circle"/>
              <c:size val="7"/>
              <c:spPr>
                <a:solidFill>
                  <a:srgbClr val="B1CF92"/>
                </a:solidFill>
                <a:ln>
                  <a:solidFill>
                    <a:srgbClr val="3D3B39"/>
                  </a:solidFill>
                </a:ln>
              </c:spPr>
            </c:marker>
          </c:dPt>
          <c:dPt>
            <c:idx val="1"/>
            <c:invertIfNegative val="0"/>
            <c:bubble3D val="0"/>
            <c:marker>
              <c:symbol val="circle"/>
              <c:size val="7"/>
              <c:spPr>
                <a:solidFill>
                  <a:srgbClr val="97C57A"/>
                </a:solidFill>
                <a:ln>
                  <a:solidFill>
                    <a:srgbClr val="3D3B39"/>
                  </a:solidFill>
                </a:ln>
              </c:spPr>
            </c:marker>
          </c:dPt>
          <c:dPt>
            <c:idx val="2"/>
            <c:invertIfNegative val="0"/>
            <c:bubble3D val="0"/>
            <c:marker>
              <c:symbol val="circle"/>
              <c:size val="7"/>
              <c:spPr>
                <a:solidFill>
                  <a:srgbClr val="E29A9A"/>
                </a:solidFill>
                <a:ln>
                  <a:solidFill>
                    <a:srgbClr val="3D3B39"/>
                  </a:solidFill>
                </a:ln>
              </c:spPr>
            </c:marker>
          </c:dPt>
          <c:dPt>
            <c:idx val="3"/>
            <c:invertIfNegative val="0"/>
            <c:bubble3D val="0"/>
            <c:marker>
              <c:symbol val="circle"/>
              <c:size val="7"/>
              <c:spPr>
                <a:solidFill>
                  <a:srgbClr val="B1CF92"/>
                </a:solidFill>
                <a:ln>
                  <a:solidFill>
                    <a:srgbClr val="3D3B39"/>
                  </a:solidFill>
                </a:ln>
              </c:spPr>
            </c:marker>
          </c:dPt>
          <c:dPt>
            <c:idx val="4"/>
            <c:invertIfNegative val="0"/>
            <c:bubble3D val="0"/>
            <c:marker>
              <c:symbol val="circle"/>
              <c:size val="7"/>
              <c:spPr>
                <a:solidFill>
                  <a:srgbClr val="74B556"/>
                </a:solidFill>
                <a:ln>
                  <a:solidFill>
                    <a:srgbClr val="3D3B39"/>
                  </a:solidFill>
                </a:ln>
              </c:spPr>
            </c:marker>
          </c:dPt>
          <c:dPt>
            <c:idx val="5"/>
            <c:invertIfNegative val="0"/>
            <c:bubble3D val="0"/>
            <c:marker>
              <c:symbol val="circle"/>
              <c:size val="7"/>
              <c:spPr>
                <a:solidFill>
                  <a:srgbClr val="D26A6A"/>
                </a:solidFill>
                <a:ln>
                  <a:solidFill>
                    <a:srgbClr val="3D3B39"/>
                  </a:solidFill>
                </a:ln>
              </c:spPr>
            </c:marker>
          </c:dPt>
          <c:dPt>
            <c:idx val="6"/>
            <c:invertIfNegative val="0"/>
            <c:bubble3D val="0"/>
            <c:marker>
              <c:symbol val="circle"/>
              <c:size val="7"/>
              <c:spPr>
                <a:solidFill>
                  <a:srgbClr val="E29A9A"/>
                </a:solidFill>
                <a:ln>
                  <a:solidFill>
                    <a:srgbClr val="3D3B39"/>
                  </a:solidFill>
                </a:ln>
              </c:spPr>
            </c:marker>
          </c:dPt>
          <c:dPt>
            <c:idx val="7"/>
            <c:invertIfNegative val="0"/>
            <c:bubble3D val="0"/>
            <c:marker>
              <c:symbol val="circle"/>
              <c:size val="7"/>
              <c:spPr>
                <a:solidFill>
                  <a:srgbClr val="C2D9A4"/>
                </a:solidFill>
                <a:ln>
                  <a:solidFill>
                    <a:srgbClr val="3D3B39"/>
                  </a:solidFill>
                </a:ln>
              </c:spPr>
            </c:marker>
          </c:dPt>
          <c:dPt>
            <c:idx val="8"/>
            <c:invertIfNegative val="0"/>
            <c:bubble3D val="0"/>
            <c:marker>
              <c:symbol val="circle"/>
              <c:size val="7"/>
              <c:spPr>
                <a:solidFill>
                  <a:srgbClr val="FAEACA"/>
                </a:solidFill>
                <a:ln>
                  <a:solidFill>
                    <a:srgbClr val="3D3B39"/>
                  </a:solidFill>
                </a:ln>
              </c:spPr>
            </c:marker>
          </c:dPt>
          <c:dPt>
            <c:idx val="9"/>
            <c:invertIfNegative val="0"/>
            <c:bubble3D val="0"/>
            <c:marker>
              <c:symbol val="circle"/>
              <c:size val="7"/>
              <c:spPr>
                <a:solidFill>
                  <a:srgbClr val="C2D9A4"/>
                </a:solidFill>
                <a:ln>
                  <a:solidFill>
                    <a:srgbClr val="3D3B39"/>
                  </a:solidFill>
                </a:ln>
              </c:spPr>
            </c:marker>
          </c:dPt>
          <c:dPt>
            <c:idx val="10"/>
            <c:invertIfNegative val="0"/>
            <c:bubble3D val="0"/>
            <c:marker>
              <c:symbol val="circle"/>
              <c:size val="7"/>
              <c:spPr>
                <a:solidFill>
                  <a:srgbClr val="74B556"/>
                </a:solidFill>
                <a:ln>
                  <a:solidFill>
                    <a:srgbClr val="3D3B39"/>
                  </a:solidFill>
                </a:ln>
              </c:spPr>
            </c:marker>
          </c:dPt>
          <c:dPt>
            <c:idx val="11"/>
            <c:invertIfNegative val="0"/>
            <c:bubble3D val="0"/>
            <c:marker>
              <c:symbol val="circle"/>
              <c:size val="7"/>
              <c:spPr>
                <a:solidFill>
                  <a:srgbClr val="D26A6A"/>
                </a:solidFill>
                <a:ln>
                  <a:solidFill>
                    <a:srgbClr val="3D3B39"/>
                  </a:solidFill>
                </a:ln>
              </c:spPr>
            </c:marker>
          </c:dPt>
          <c:dPt>
            <c:idx val="12"/>
            <c:invertIfNegative val="0"/>
            <c:bubble3D val="0"/>
            <c:marker>
              <c:symbol val="circle"/>
              <c:size val="7"/>
              <c:spPr>
                <a:solidFill>
                  <a:srgbClr val="C2D9A4"/>
                </a:solidFill>
                <a:ln>
                  <a:solidFill>
                    <a:srgbClr val="3D3B39"/>
                  </a:solidFill>
                </a:ln>
              </c:spPr>
            </c:marker>
          </c:dPt>
          <c:dPt>
            <c:idx val="13"/>
            <c:invertIfNegative val="0"/>
            <c:bubble3D val="0"/>
            <c:marker>
              <c:symbol val="circle"/>
              <c:size val="7"/>
              <c:spPr>
                <a:solidFill>
                  <a:srgbClr val="74B556"/>
                </a:solidFill>
                <a:ln>
                  <a:solidFill>
                    <a:srgbClr val="3D3B39"/>
                  </a:solidFill>
                </a:ln>
              </c:spPr>
            </c:marker>
          </c:dPt>
          <c:dPt>
            <c:idx val="14"/>
            <c:invertIfNegative val="0"/>
            <c:bubble3D val="0"/>
            <c:marker>
              <c:symbol val="circle"/>
              <c:size val="7"/>
              <c:spPr>
                <a:solidFill>
                  <a:srgbClr val="B1CF92"/>
                </a:solidFill>
                <a:ln>
                  <a:solidFill>
                    <a:srgbClr val="3D3B39"/>
                  </a:solidFill>
                </a:ln>
              </c:spPr>
            </c:marker>
          </c:dPt>
          <c:dPt>
            <c:idx val="15"/>
            <c:invertIfNegative val="0"/>
            <c:bubble3D val="0"/>
            <c:marker>
              <c:symbol val="circle"/>
              <c:size val="7"/>
              <c:spPr>
                <a:solidFill>
                  <a:srgbClr val="B1CF92"/>
                </a:solidFill>
                <a:ln>
                  <a:solidFill>
                    <a:srgbClr val="3D3B39"/>
                  </a:solidFill>
                </a:ln>
              </c:spPr>
            </c:marker>
          </c:dPt>
          <c:dPt>
            <c:idx val="16"/>
            <c:invertIfNegative val="0"/>
            <c:bubble3D val="0"/>
            <c:marker>
              <c:symbol val="circle"/>
              <c:size val="7"/>
              <c:spPr>
                <a:solidFill>
                  <a:srgbClr val="E29A9A"/>
                </a:solidFill>
                <a:ln>
                  <a:solidFill>
                    <a:srgbClr val="3D3B39"/>
                  </a:solidFill>
                </a:ln>
              </c:spPr>
            </c:marker>
          </c:dPt>
          <c:dPt>
            <c:idx val="17"/>
            <c:invertIfNegative val="0"/>
            <c:bubble3D val="0"/>
            <c:marker>
              <c:symbol val="circle"/>
              <c:size val="7"/>
              <c:spPr>
                <a:solidFill>
                  <a:srgbClr val="EFBEBE"/>
                </a:solidFill>
                <a:ln>
                  <a:solidFill>
                    <a:srgbClr val="3D3B39"/>
                  </a:solidFill>
                </a:ln>
              </c:spPr>
            </c:marker>
          </c:dPt>
          <c:dPt>
            <c:idx val="18"/>
            <c:invertIfNegative val="0"/>
            <c:bubble3D val="0"/>
            <c:marker>
              <c:symbol val="circle"/>
              <c:size val="7"/>
              <c:spPr>
                <a:solidFill>
                  <a:srgbClr val="74B556"/>
                </a:solidFill>
                <a:ln>
                  <a:solidFill>
                    <a:srgbClr val="3D3B39"/>
                  </a:solidFill>
                </a:ln>
              </c:spPr>
            </c:marker>
          </c:dPt>
          <c:dPt>
            <c:idx val="19"/>
            <c:invertIfNegative val="0"/>
            <c:bubble3D val="0"/>
            <c:marker>
              <c:symbol val="circle"/>
              <c:size val="7"/>
              <c:spPr>
                <a:solidFill>
                  <a:srgbClr val="C2D9A4"/>
                </a:solidFill>
                <a:ln>
                  <a:solidFill>
                    <a:srgbClr val="3D3B39"/>
                  </a:solidFill>
                </a:ln>
              </c:spPr>
            </c:marker>
          </c:dPt>
          <c:dLbls>
            <c:spPr>
              <a:noFill/>
              <a:ln>
                <a:noFill/>
              </a:ln>
            </c:spPr>
            <c:showLegendKey val="0"/>
            <c:showVal val="0"/>
            <c:showCatName val="0"/>
            <c:showSerName val="0"/>
            <c:showPercent val="0"/>
            <c:showBubbleSize val="0"/>
            <c:extLst>
              <c:ext xmlns:c15="http://schemas.microsoft.com/office/drawing/2012/chart" uri="{CE6537A1-D6FC-4f65-9D91-7224C49458BB}">
                <c15:showDataLabelsRange val="1"/>
              </c:ext>
              <c:ext xmlns:c15="http://schemas.microsoft.com/office/drawing/2012/chart" uri="{02D57815-91ED-43cb-92C2-25804820EDAC}">
                <c15:datalabelsRange>
                  <c15:f>Workspace!$B$2:$B$21</c15:f>
                </c15:datalabelsRange>
              </c:ext>
            </c:extLst>
          </c:dLbls>
          <c:xVal>
            <c:numRef>
              <c:f>Workspace!$L$2:$L$21</c:f>
            </c:numRef>
          </c:xVal>
          <c:yVal>
            <c:numRef>
              <c:f>Workspace!$M$2:$M$21</c:f>
            </c:numRef>
          </c:yVal>
          <c:smooth val="0"/>
        </c:ser>
        <c:axId val="111111111"/>
        <c:axId val="222222222"/>
      </c:scatterChart>
      <c:valAx>
        <c:axId val="111111111"/>
        <c:scaling>
          <c:orientation val="minMax"/>
          <c:max val="10"/>
          <c:min val="-10"/>
        </c:scaling>
        <c:delete val="0"/>
        <c:axPos val="b"/>
        <c:majorGridlines/>
        <c:title>
          <c:tx>
            <c:rich>
              <a:bodyPr/>
              <a:p>
                <a:r>
                  <a:t>Impact on the business →</a:t>
                </a:r>
              </a:p>
            </c:rich>
          </c:tx>
          <c:overlay val="0"/>
        </c:title>
        <c:numFmt formatCode="General" sourceLinked="1"/>
        <c:majorTickMark val="out"/>
        <c:minorTickMark val="none"/>
        <c:tickLblPos val="nextTo"/>
        <c:crossAx val="222222222"/>
        <c:crosses val="autoZero"/>
        <c:crossBetween val="midCat"/>
        <c:majorUnit val="1"/>
      </c:valAx>
      <c:valAx>
        <c:axId val="222222222"/>
        <c:scaling>
          <c:orientation val="minMax"/>
          <c:max val="10"/>
          <c:min val="-10"/>
        </c:scaling>
        <c:delete val="0"/>
        <c:axPos val="l"/>
        <c:majorGridlines/>
        <c:title>
          <c:tx>
            <c:rich>
              <a:bodyPr rot="-5400000" vert="horz"/>
              <a:p>
                <a:r>
                  <a:t>Influence in the community →</a:t>
                </a:r>
              </a:p>
            </c:rich>
          </c:tx>
          <c:overlay val="0"/>
        </c:title>
        <c:numFmt formatCode="General" sourceLinked="1"/>
        <c:majorTickMark val="out"/>
        <c:minorTickMark val="none"/>
        <c:tickLblPos val="nextTo"/>
        <c:crossAx val="111111111"/>
        <c:crosses val="autoZero"/>
        <c:crossBetween val="midCat"/>
        <c:majorUnit val="2.5"/>
      </c:valAx>
    </c:plotArea>
    <c:plotVisOnly val="1"/>
    <c:dispBlanksAs val="gap"/>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dr:twoCellAnchor>
    <xdr:from>
      <xdr:col>1</xdr:col>
      <xdr:colOff>0</xdr:colOff>
      <xdr:row>13</xdr:row>
      <xdr:rowOff>0</xdr:rowOff>
    </xdr:from>
    <xdr:to>
      <xdr:col>6</xdr:col>
      <xdr:colOff>0</xdr:colOff>
      <xdr:row>40</xdr:row>
      <xdr:rowOff>0</xdr:rowOff>
    </xdr:to>
    <xdr:graphicFrame macro="">
      <xdr:nvGraphicFramePr>
        <xdr:cNvPr id="2" name="Stakeholder Map Chart"/>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4.xml.rels><?xml version="1.0" encoding="UTF-8" standalone="yes"?>
<Relationships xmlns="http://schemas.openxmlformats.org/package/2006/relationships"><Relationship Id="rIdDraw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H85"/>
  <sheetViews>
    <sheetView workbookViewId="0" showGridLines="0"/>
  </sheetViews>
  <sheetFormatPr defaultRowHeight="16" outlineLevelRow="0" outlineLevelCol="0" x14ac:dyDescent="55" customHeight="1"/>
  <cols>
    <col min="1" max="1" width="3" customWidth="1"/>
    <col min="2" max="8" width="21" customWidth="1"/>
  </cols>
  <sheetData>
    <row r="1" ht="38" customHeight="1" spans="2:8" x14ac:dyDescent="0.25">
      <c r="B1" s="1" t="s">
        <v>0</v>
      </c>
      <c r="C1" s="1"/>
      <c r="D1" s="1"/>
      <c r="E1" s="1"/>
      <c r="F1" s="1"/>
      <c r="G1" s="1"/>
      <c r="H1" s="1"/>
    </row>
    <row r="3" ht="40" customHeight="1" spans="2:8" x14ac:dyDescent="0.25">
      <c r="B3" s="2" t="s">
        <v>1</v>
      </c>
      <c r="C3" s="2"/>
      <c r="D3" s="2"/>
      <c r="E3" s="2"/>
      <c r="F3" s="2"/>
      <c r="G3" s="2"/>
      <c r="H3" s="2"/>
    </row>
    <row r="5" spans="2:8" x14ac:dyDescent="0.25">
      <c r="B5" s="3" t="s">
        <v>2</v>
      </c>
      <c r="C5" s="3"/>
      <c r="D5" s="3"/>
      <c r="E5" s="3"/>
      <c r="F5" s="3"/>
      <c r="G5" s="3"/>
      <c r="H5" s="3"/>
    </row>
    <row r="7" ht="22" customHeight="1" spans="2:7" x14ac:dyDescent="0.25">
      <c r="B7" s="4" t="s">
        <v>3</v>
      </c>
      <c r="C7" s="4"/>
      <c r="D7" s="5" t="s">
        <v>4</v>
      </c>
      <c r="E7" s="5"/>
      <c r="F7" s="6" t="s">
        <v>5</v>
      </c>
      <c r="G7" s="6"/>
    </row>
    <row r="8" spans="2:7" x14ac:dyDescent="0.25">
      <c r="B8" s="7" t="s">
        <v>6</v>
      </c>
      <c r="C8" s="7"/>
      <c r="D8" s="7" t="s">
        <v>7</v>
      </c>
      <c r="E8" s="7"/>
      <c r="F8" s="7" t="s">
        <v>8</v>
      </c>
      <c r="G8" s="7"/>
    </row>
    <row r="9" spans="2:7" x14ac:dyDescent="0.25">
      <c r="B9" s="7" t="s">
        <v>9</v>
      </c>
      <c r="C9" s="7"/>
      <c r="D9" s="7" t="s">
        <v>10</v>
      </c>
      <c r="E9" s="7"/>
      <c r="F9" s="7" t="s">
        <v>11</v>
      </c>
      <c r="G9" s="7"/>
    </row>
    <row r="10" spans="2:7" x14ac:dyDescent="0.25">
      <c r="B10" s="7" t="s">
        <v>12</v>
      </c>
      <c r="C10" s="7"/>
      <c r="D10" s="7" t="s">
        <v>13</v>
      </c>
      <c r="E10" s="7"/>
      <c r="F10" s="7" t="s">
        <v>14</v>
      </c>
      <c r="G10" s="7"/>
    </row>
    <row r="11" spans="2:7" x14ac:dyDescent="0.25">
      <c r="B11" s="7" t="s">
        <v>15</v>
      </c>
      <c r="C11" s="7"/>
      <c r="D11" s="7" t="s">
        <v>16</v>
      </c>
      <c r="E11" s="7"/>
      <c r="F11" s="7" t="s">
        <v>17</v>
      </c>
      <c r="G11" s="7"/>
    </row>
    <row r="13" spans="2:8" x14ac:dyDescent="0.25">
      <c r="B13" s="3" t="s">
        <v>18</v>
      </c>
      <c r="C13" s="3"/>
      <c r="D13" s="3"/>
      <c r="E13" s="3"/>
      <c r="F13" s="3"/>
      <c r="G13" s="3"/>
      <c r="H13" s="3"/>
    </row>
    <row r="15" spans="2:8" x14ac:dyDescent="0.25">
      <c r="B15" s="8" t="s">
        <v>19</v>
      </c>
      <c r="C15" s="8"/>
      <c r="D15" s="8"/>
      <c r="E15" s="8"/>
      <c r="F15" s="8"/>
      <c r="G15" s="8"/>
      <c r="H15" s="8"/>
    </row>
    <row r="16" spans="2:8" x14ac:dyDescent="0.25">
      <c r="B16" s="8" t="s">
        <v>20</v>
      </c>
      <c r="C16" s="8"/>
      <c r="D16" s="8"/>
      <c r="E16" s="8"/>
      <c r="F16" s="8"/>
      <c r="G16" s="8"/>
      <c r="H16" s="8"/>
    </row>
    <row r="18" ht="26" customHeight="1" spans="2:8" x14ac:dyDescent="0.25">
      <c r="B18" s="9" t="s">
        <v>21</v>
      </c>
      <c r="C18" s="10" t="s">
        <v>22</v>
      </c>
      <c r="D18" s="11" t="s">
        <v>23</v>
      </c>
      <c r="E18" s="12" t="s">
        <v>24</v>
      </c>
      <c r="F18" s="13" t="s">
        <v>25</v>
      </c>
      <c r="G18" s="14" t="s">
        <v>26</v>
      </c>
      <c r="H18" s="15" t="s">
        <v>27</v>
      </c>
    </row>
    <row r="19" ht="26" customHeight="1" spans="2:8" x14ac:dyDescent="0.25">
      <c r="B19" s="16" t="s">
        <v>28</v>
      </c>
      <c r="C19" s="17" t="s">
        <v>29</v>
      </c>
      <c r="D19" s="18" t="s">
        <v>30</v>
      </c>
      <c r="E19" s="19" t="s">
        <v>31</v>
      </c>
      <c r="F19" s="20" t="s">
        <v>32</v>
      </c>
      <c r="G19" s="21" t="s">
        <v>33</v>
      </c>
      <c r="H19" s="22" t="s">
        <v>34</v>
      </c>
    </row>
    <row r="21" ht="26" customHeight="1" spans="2:7" x14ac:dyDescent="0.25">
      <c r="B21" s="23" t="s">
        <v>35</v>
      </c>
      <c r="C21" s="23"/>
      <c r="D21" s="24" t="s">
        <v>36</v>
      </c>
      <c r="E21" s="24"/>
      <c r="F21" s="25" t="s">
        <v>37</v>
      </c>
      <c r="G21" s="25"/>
    </row>
    <row r="22" spans="2:6" x14ac:dyDescent="0.25">
      <c r="B22" s="26" t="s">
        <v>38</v>
      </c>
      <c r="D22" s="27" t="s">
        <v>39</v>
      </c>
      <c r="F22" s="28" t="s">
        <v>40</v>
      </c>
    </row>
    <row r="23" spans="2:6" x14ac:dyDescent="0.25">
      <c r="B23" s="26" t="s">
        <v>41</v>
      </c>
      <c r="D23" s="27" t="s">
        <v>42</v>
      </c>
      <c r="F23" s="28" t="s">
        <v>43</v>
      </c>
    </row>
    <row r="24" spans="2:6" x14ac:dyDescent="0.25">
      <c r="B24" s="26" t="s">
        <v>44</v>
      </c>
      <c r="D24" s="27" t="s">
        <v>45</v>
      </c>
      <c r="F24" s="28" t="s">
        <v>46</v>
      </c>
    </row>
    <row r="25" spans="2:6" x14ac:dyDescent="0.25">
      <c r="B25" s="26" t="s">
        <v>47</v>
      </c>
      <c r="D25" s="27" t="s">
        <v>48</v>
      </c>
      <c r="F25" s="28" t="s">
        <v>49</v>
      </c>
    </row>
    <row r="26" spans="2:6" x14ac:dyDescent="0.25">
      <c r="B26" s="26" t="s">
        <v>50</v>
      </c>
      <c r="D26" s="27" t="s">
        <v>51</v>
      </c>
      <c r="F26" s="28" t="s">
        <v>52</v>
      </c>
    </row>
    <row r="27" spans="2:6" x14ac:dyDescent="0.25">
      <c r="B27" s="26" t="s">
        <v>53</v>
      </c>
      <c r="D27" s="27" t="s">
        <v>53</v>
      </c>
      <c r="F27" s="28" t="s">
        <v>50</v>
      </c>
    </row>
    <row r="29" spans="2:8" x14ac:dyDescent="0.25">
      <c r="B29" s="3" t="s">
        <v>54</v>
      </c>
      <c r="C29" s="3"/>
      <c r="D29" s="3"/>
      <c r="E29" s="3"/>
      <c r="F29" s="3"/>
      <c r="G29" s="3"/>
      <c r="H29" s="3"/>
    </row>
    <row r="31" ht="30" customHeight="1" spans="2:8" x14ac:dyDescent="0.25">
      <c r="B31" s="7" t="s">
        <v>55</v>
      </c>
      <c r="C31" s="7"/>
      <c r="D31" s="7"/>
      <c r="E31" s="7"/>
      <c r="F31" s="7"/>
      <c r="G31" s="7"/>
      <c r="H31" s="7"/>
    </row>
    <row r="32" ht="26" customHeight="1" spans="2:5" x14ac:dyDescent="0.25">
      <c r="B32" s="29" t="s">
        <v>21</v>
      </c>
      <c r="C32" s="30" t="s">
        <v>22</v>
      </c>
      <c r="D32" s="31" t="s">
        <v>32</v>
      </c>
      <c r="E32" s="32" t="s">
        <v>34</v>
      </c>
    </row>
    <row r="33" ht="26" customHeight="1" spans="2:5" x14ac:dyDescent="0.25">
      <c r="B33" s="30" t="s">
        <v>22</v>
      </c>
      <c r="C33" s="33" t="s">
        <v>23</v>
      </c>
      <c r="D33" s="34" t="s">
        <v>31</v>
      </c>
      <c r="E33" s="35" t="s">
        <v>33</v>
      </c>
    </row>
    <row r="34" ht="26" customHeight="1" spans="2:5" x14ac:dyDescent="0.25">
      <c r="B34" s="33" t="s">
        <v>23</v>
      </c>
      <c r="C34" s="36" t="s">
        <v>24</v>
      </c>
      <c r="D34" s="37" t="s">
        <v>30</v>
      </c>
      <c r="E34" s="34" t="s">
        <v>31</v>
      </c>
    </row>
    <row r="35" ht="26" customHeight="1" spans="2:5" x14ac:dyDescent="0.25">
      <c r="B35" s="33" t="s">
        <v>23</v>
      </c>
      <c r="C35" s="36" t="s">
        <v>24</v>
      </c>
      <c r="D35" s="37" t="s">
        <v>30</v>
      </c>
      <c r="E35" s="34" t="s">
        <v>31</v>
      </c>
    </row>
    <row r="36" ht="26" customHeight="1" spans="2:5" x14ac:dyDescent="0.25">
      <c r="B36" s="38" t="s">
        <v>25</v>
      </c>
      <c r="C36" s="38" t="s">
        <v>25</v>
      </c>
      <c r="D36" s="39" t="s">
        <v>29</v>
      </c>
      <c r="E36" s="39" t="s">
        <v>29</v>
      </c>
    </row>
    <row r="37" ht="26" customHeight="1" spans="2:5" x14ac:dyDescent="0.25">
      <c r="B37" s="40" t="s">
        <v>26</v>
      </c>
      <c r="C37" s="40" t="s">
        <v>26</v>
      </c>
      <c r="D37" s="41" t="s">
        <v>27</v>
      </c>
      <c r="E37" s="42" t="s">
        <v>28</v>
      </c>
    </row>
    <row r="38" spans="2:5" x14ac:dyDescent="0.25">
      <c r="B38" s="43" t="s">
        <v>56</v>
      </c>
      <c r="C38" s="44" t="s">
        <v>57</v>
      </c>
      <c r="D38" s="44"/>
      <c r="E38" s="45" t="s">
        <v>58</v>
      </c>
    </row>
    <row r="40" spans="2:8" x14ac:dyDescent="0.25">
      <c r="B40" s="3" t="s">
        <v>59</v>
      </c>
      <c r="C40" s="3"/>
      <c r="D40" s="3"/>
      <c r="E40" s="3"/>
      <c r="F40" s="3"/>
      <c r="G40" s="3"/>
      <c r="H40" s="3"/>
    </row>
    <row r="42" ht="28" customHeight="1" spans="2:8" x14ac:dyDescent="0.25">
      <c r="B42" s="7" t="s">
        <v>60</v>
      </c>
      <c r="C42" s="7"/>
      <c r="D42" s="7"/>
      <c r="E42" s="7"/>
      <c r="F42" s="7"/>
      <c r="G42" s="7"/>
      <c r="H42" s="7"/>
    </row>
    <row r="43" spans="2:8" x14ac:dyDescent="0.25">
      <c r="B43" s="46" t="s">
        <v>61</v>
      </c>
      <c r="C43" s="46" t="s">
        <v>62</v>
      </c>
      <c r="D43" s="46" t="s">
        <v>63</v>
      </c>
      <c r="E43" s="46"/>
      <c r="F43" s="46"/>
      <c r="G43" s="46"/>
      <c r="H43" s="46"/>
    </row>
    <row r="44" ht="34" customHeight="1" spans="2:8" x14ac:dyDescent="0.25">
      <c r="B44" s="47" t="s">
        <v>21</v>
      </c>
      <c r="C44" s="48" t="s">
        <v>64</v>
      </c>
      <c r="D44" s="49" t="s">
        <v>65</v>
      </c>
      <c r="E44" s="49"/>
      <c r="F44" s="49"/>
      <c r="G44" s="49"/>
      <c r="H44" s="49"/>
    </row>
    <row r="45" ht="34" customHeight="1" spans="2:8" x14ac:dyDescent="0.25">
      <c r="B45" s="50" t="s">
        <v>22</v>
      </c>
      <c r="C45" s="48" t="s">
        <v>64</v>
      </c>
      <c r="D45" s="49" t="s">
        <v>66</v>
      </c>
      <c r="E45" s="49"/>
      <c r="F45" s="49"/>
      <c r="G45" s="49"/>
      <c r="H45" s="49"/>
    </row>
    <row r="46" ht="34" customHeight="1" spans="2:8" x14ac:dyDescent="0.25">
      <c r="B46" s="51" t="s">
        <v>23</v>
      </c>
      <c r="C46" s="48" t="s">
        <v>64</v>
      </c>
      <c r="D46" s="49" t="s">
        <v>67</v>
      </c>
      <c r="E46" s="49"/>
      <c r="F46" s="49"/>
      <c r="G46" s="49"/>
      <c r="H46" s="49"/>
    </row>
    <row r="47" ht="34" customHeight="1" spans="2:8" x14ac:dyDescent="0.25">
      <c r="B47" s="52" t="s">
        <v>24</v>
      </c>
      <c r="C47" s="48" t="s">
        <v>64</v>
      </c>
      <c r="D47" s="49" t="s">
        <v>68</v>
      </c>
      <c r="E47" s="49"/>
      <c r="F47" s="49"/>
      <c r="G47" s="49"/>
      <c r="H47" s="49"/>
    </row>
    <row r="48" ht="34" customHeight="1" spans="2:8" x14ac:dyDescent="0.25">
      <c r="B48" s="53" t="s">
        <v>25</v>
      </c>
      <c r="C48" s="48" t="s">
        <v>64</v>
      </c>
      <c r="D48" s="49" t="s">
        <v>69</v>
      </c>
      <c r="E48" s="49"/>
      <c r="F48" s="49"/>
      <c r="G48" s="49"/>
      <c r="H48" s="49"/>
    </row>
    <row r="49" ht="34" customHeight="1" spans="2:8" x14ac:dyDescent="0.25">
      <c r="B49" s="54" t="s">
        <v>26</v>
      </c>
      <c r="C49" s="55" t="s">
        <v>70</v>
      </c>
      <c r="D49" s="49" t="s">
        <v>71</v>
      </c>
      <c r="E49" s="49"/>
      <c r="F49" s="49"/>
      <c r="G49" s="49"/>
      <c r="H49" s="49"/>
    </row>
    <row r="50" ht="34" customHeight="1" spans="2:8" x14ac:dyDescent="0.25">
      <c r="B50" s="56" t="s">
        <v>27</v>
      </c>
      <c r="C50" s="55" t="s">
        <v>70</v>
      </c>
      <c r="D50" s="49" t="s">
        <v>72</v>
      </c>
      <c r="E50" s="49"/>
      <c r="F50" s="49"/>
      <c r="G50" s="49"/>
      <c r="H50" s="49"/>
    </row>
    <row r="51" ht="34" customHeight="1" spans="2:8" x14ac:dyDescent="0.25">
      <c r="B51" s="57" t="s">
        <v>28</v>
      </c>
      <c r="C51" s="55" t="s">
        <v>70</v>
      </c>
      <c r="D51" s="49" t="s">
        <v>73</v>
      </c>
      <c r="E51" s="49"/>
      <c r="F51" s="49"/>
      <c r="G51" s="49"/>
      <c r="H51" s="49"/>
    </row>
    <row r="52" ht="34" customHeight="1" spans="2:8" x14ac:dyDescent="0.25">
      <c r="B52" s="58" t="s">
        <v>29</v>
      </c>
      <c r="C52" s="55" t="s">
        <v>70</v>
      </c>
      <c r="D52" s="49" t="s">
        <v>74</v>
      </c>
      <c r="E52" s="49"/>
      <c r="F52" s="49"/>
      <c r="G52" s="49"/>
      <c r="H52" s="49"/>
    </row>
    <row r="53" ht="34" customHeight="1" spans="2:8" x14ac:dyDescent="0.25">
      <c r="B53" s="59" t="s">
        <v>30</v>
      </c>
      <c r="C53" s="60" t="s">
        <v>75</v>
      </c>
      <c r="D53" s="49" t="s">
        <v>76</v>
      </c>
      <c r="E53" s="49"/>
      <c r="F53" s="49"/>
      <c r="G53" s="49"/>
      <c r="H53" s="49"/>
    </row>
    <row r="54" ht="34" customHeight="1" spans="2:8" x14ac:dyDescent="0.25">
      <c r="B54" s="61" t="s">
        <v>31</v>
      </c>
      <c r="C54" s="60" t="s">
        <v>75</v>
      </c>
      <c r="D54" s="49" t="s">
        <v>77</v>
      </c>
      <c r="E54" s="49"/>
      <c r="F54" s="49"/>
      <c r="G54" s="49"/>
      <c r="H54" s="49"/>
    </row>
    <row r="55" ht="34" customHeight="1" spans="2:8" x14ac:dyDescent="0.25">
      <c r="B55" s="62" t="s">
        <v>32</v>
      </c>
      <c r="C55" s="60" t="s">
        <v>75</v>
      </c>
      <c r="D55" s="49" t="s">
        <v>78</v>
      </c>
      <c r="E55" s="49"/>
      <c r="F55" s="49"/>
      <c r="G55" s="49"/>
      <c r="H55" s="49"/>
    </row>
    <row r="56" ht="34" customHeight="1" spans="2:8" x14ac:dyDescent="0.25">
      <c r="B56" s="63" t="s">
        <v>33</v>
      </c>
      <c r="C56" s="60" t="s">
        <v>75</v>
      </c>
      <c r="D56" s="49" t="s">
        <v>79</v>
      </c>
      <c r="E56" s="49"/>
      <c r="F56" s="49"/>
      <c r="G56" s="49"/>
      <c r="H56" s="49"/>
    </row>
    <row r="57" ht="34" customHeight="1" spans="2:8" x14ac:dyDescent="0.25">
      <c r="B57" s="64" t="s">
        <v>34</v>
      </c>
      <c r="C57" s="60" t="s">
        <v>75</v>
      </c>
      <c r="D57" s="49" t="s">
        <v>80</v>
      </c>
      <c r="E57" s="49"/>
      <c r="F57" s="49"/>
      <c r="G57" s="49"/>
      <c r="H57" s="49"/>
    </row>
    <row r="60" spans="2:8" x14ac:dyDescent="0.25">
      <c r="B60" s="3" t="s">
        <v>81</v>
      </c>
      <c r="C60" s="3"/>
      <c r="D60" s="3"/>
      <c r="E60" s="3"/>
      <c r="F60" s="3"/>
      <c r="G60" s="3"/>
      <c r="H60" s="3"/>
    </row>
    <row r="62" spans="2:7" x14ac:dyDescent="0.25">
      <c r="B62" s="65" t="s">
        <v>82</v>
      </c>
      <c r="C62" s="65" t="s">
        <v>83</v>
      </c>
      <c r="D62" s="65" t="s">
        <v>84</v>
      </c>
      <c r="E62" s="65" t="s">
        <v>85</v>
      </c>
      <c r="F62" s="65" t="s">
        <v>86</v>
      </c>
      <c r="G62" s="65" t="s">
        <v>87</v>
      </c>
    </row>
    <row r="63" spans="2:7" x14ac:dyDescent="0.25">
      <c r="B63" s="66" t="s">
        <v>88</v>
      </c>
      <c r="C63" s="66" t="s">
        <v>89</v>
      </c>
      <c r="D63" s="66" t="s">
        <v>90</v>
      </c>
      <c r="E63" s="66" t="s">
        <v>91</v>
      </c>
      <c r="F63" s="66" t="s">
        <v>92</v>
      </c>
      <c r="G63" s="66" t="s">
        <v>93</v>
      </c>
    </row>
    <row r="64" spans="2:7" x14ac:dyDescent="0.25">
      <c r="B64" s="66" t="s">
        <v>94</v>
      </c>
      <c r="C64" s="66" t="s">
        <v>95</v>
      </c>
      <c r="D64" s="66" t="s">
        <v>96</v>
      </c>
      <c r="E64" s="66" t="s">
        <v>97</v>
      </c>
      <c r="F64" s="66" t="s">
        <v>98</v>
      </c>
      <c r="G64" s="66" t="s">
        <v>99</v>
      </c>
    </row>
    <row r="65" spans="2:7" x14ac:dyDescent="0.25">
      <c r="B65" s="66" t="s">
        <v>100</v>
      </c>
      <c r="C65" s="66" t="s">
        <v>101</v>
      </c>
      <c r="D65" s="66" t="s">
        <v>102</v>
      </c>
      <c r="E65" s="66" t="s">
        <v>103</v>
      </c>
      <c r="F65" s="66" t="s">
        <v>104</v>
      </c>
      <c r="G65" s="66" t="s">
        <v>105</v>
      </c>
    </row>
    <row r="66" spans="2:7" x14ac:dyDescent="0.25">
      <c r="B66" s="66" t="s">
        <v>106</v>
      </c>
      <c r="C66" s="66" t="s">
        <v>107</v>
      </c>
      <c r="D66" s="66" t="s">
        <v>108</v>
      </c>
      <c r="E66" s="66" t="s">
        <v>109</v>
      </c>
      <c r="F66" s="66" t="s">
        <v>110</v>
      </c>
      <c r="G66" s="66" t="s">
        <v>111</v>
      </c>
    </row>
    <row r="67" spans="2:5" x14ac:dyDescent="0.25">
      <c r="B67" s="66" t="s">
        <v>112</v>
      </c>
      <c r="C67" s="66" t="s">
        <v>113</v>
      </c>
      <c r="D67" s="66" t="s">
        <v>114</v>
      </c>
      <c r="E67" s="66" t="s">
        <v>115</v>
      </c>
    </row>
    <row r="68" spans="2:5" x14ac:dyDescent="0.25">
      <c r="B68" s="66" t="s">
        <v>116</v>
      </c>
      <c r="C68" s="66" t="s">
        <v>117</v>
      </c>
      <c r="D68" s="66" t="s">
        <v>118</v>
      </c>
      <c r="E68" s="66" t="s">
        <v>119</v>
      </c>
    </row>
    <row r="69" spans="2:5" x14ac:dyDescent="0.25">
      <c r="B69" s="66" t="s">
        <v>120</v>
      </c>
      <c r="C69" s="66" t="s">
        <v>121</v>
      </c>
      <c r="D69" s="66" t="s">
        <v>122</v>
      </c>
      <c r="E69" s="66" t="s">
        <v>123</v>
      </c>
    </row>
    <row r="70" spans="2:5" x14ac:dyDescent="0.25">
      <c r="B70" s="66" t="s">
        <v>124</v>
      </c>
      <c r="C70" s="66" t="s">
        <v>125</v>
      </c>
      <c r="D70" s="66" t="s">
        <v>126</v>
      </c>
      <c r="E70" s="66" t="s">
        <v>127</v>
      </c>
    </row>
    <row r="71" spans="2:4" x14ac:dyDescent="0.25">
      <c r="B71" s="66" t="s">
        <v>128</v>
      </c>
      <c r="C71" s="66" t="s">
        <v>129</v>
      </c>
      <c r="D71" s="66" t="s">
        <v>130</v>
      </c>
    </row>
    <row r="72" spans="2:4" x14ac:dyDescent="0.25">
      <c r="B72" s="66" t="s">
        <v>131</v>
      </c>
      <c r="C72" s="66" t="s">
        <v>132</v>
      </c>
      <c r="D72" s="66" t="s">
        <v>133</v>
      </c>
    </row>
    <row r="73" spans="2:3" x14ac:dyDescent="0.25">
      <c r="B73" s="66" t="s">
        <v>134</v>
      </c>
      <c r="C73" s="66" t="s">
        <v>135</v>
      </c>
    </row>
    <row r="74" spans="2:3" x14ac:dyDescent="0.25">
      <c r="B74" s="66" t="s">
        <v>136</v>
      </c>
      <c r="C74" s="66" t="s">
        <v>137</v>
      </c>
    </row>
    <row r="75" spans="2:3" x14ac:dyDescent="0.25">
      <c r="B75" s="66" t="s">
        <v>138</v>
      </c>
      <c r="C75" s="66" t="s">
        <v>139</v>
      </c>
    </row>
    <row r="76" spans="2:3" x14ac:dyDescent="0.25">
      <c r="B76" s="66" t="s">
        <v>140</v>
      </c>
      <c r="C76" s="66" t="s">
        <v>141</v>
      </c>
    </row>
    <row r="77" spans="2:3" x14ac:dyDescent="0.25">
      <c r="B77" s="66" t="s">
        <v>142</v>
      </c>
      <c r="C77" s="66" t="s">
        <v>143</v>
      </c>
    </row>
    <row r="78" spans="2:3" x14ac:dyDescent="0.25">
      <c r="B78" s="66" t="s">
        <v>144</v>
      </c>
      <c r="C78" s="66" t="s">
        <v>145</v>
      </c>
    </row>
    <row r="81" spans="2:8" x14ac:dyDescent="0.25">
      <c r="B81" s="3" t="s">
        <v>146</v>
      </c>
      <c r="C81" s="3"/>
      <c r="D81" s="3"/>
      <c r="E81" s="3"/>
      <c r="F81" s="3"/>
      <c r="G81" s="3"/>
      <c r="H81" s="3"/>
    </row>
    <row r="83" ht="44" customHeight="1" spans="2:8" x14ac:dyDescent="0.25">
      <c r="B83" s="7" t="s">
        <v>147</v>
      </c>
      <c r="C83" s="7"/>
      <c r="D83" s="7"/>
      <c r="E83" s="7"/>
      <c r="F83" s="7"/>
      <c r="G83" s="7"/>
      <c r="H83" s="7"/>
    </row>
    <row r="85" ht="30" customHeight="1" spans="2:8" x14ac:dyDescent="0.25">
      <c r="B85" s="67" t="s">
        <v>148</v>
      </c>
      <c r="C85" s="67"/>
      <c r="D85" s="67"/>
      <c r="E85" s="67"/>
      <c r="F85" s="67"/>
      <c r="G85" s="67"/>
      <c r="H85" s="67"/>
    </row>
  </sheetData>
  <mergeCells count="48">
    <mergeCell ref="B1:H1"/>
    <mergeCell ref="B3:H3"/>
    <mergeCell ref="B5:H5"/>
    <mergeCell ref="B7:C7"/>
    <mergeCell ref="D7:E7"/>
    <mergeCell ref="F7:G7"/>
    <mergeCell ref="B8:C8"/>
    <mergeCell ref="D8:E8"/>
    <mergeCell ref="F8:G8"/>
    <mergeCell ref="B9:C9"/>
    <mergeCell ref="D9:E9"/>
    <mergeCell ref="F9:G9"/>
    <mergeCell ref="B10:C10"/>
    <mergeCell ref="D10:E10"/>
    <mergeCell ref="F10:G10"/>
    <mergeCell ref="B11:C11"/>
    <mergeCell ref="D11:E11"/>
    <mergeCell ref="F11:G11"/>
    <mergeCell ref="B13:H13"/>
    <mergeCell ref="B15:H15"/>
    <mergeCell ref="B16:H16"/>
    <mergeCell ref="B21:C21"/>
    <mergeCell ref="D21:E21"/>
    <mergeCell ref="F21:G21"/>
    <mergeCell ref="B29:H29"/>
    <mergeCell ref="B31:H31"/>
    <mergeCell ref="C38:D38"/>
    <mergeCell ref="B40:H40"/>
    <mergeCell ref="B42:H42"/>
    <mergeCell ref="D43:H43"/>
    <mergeCell ref="D44:H44"/>
    <mergeCell ref="D45:H45"/>
    <mergeCell ref="D46:H46"/>
    <mergeCell ref="D47:H47"/>
    <mergeCell ref="D48:H48"/>
    <mergeCell ref="D49:H49"/>
    <mergeCell ref="D50:H50"/>
    <mergeCell ref="D51:H51"/>
    <mergeCell ref="D52:H52"/>
    <mergeCell ref="D53:H53"/>
    <mergeCell ref="D54:H54"/>
    <mergeCell ref="D55:H55"/>
    <mergeCell ref="D56:H56"/>
    <mergeCell ref="D57:H57"/>
    <mergeCell ref="B60:H60"/>
    <mergeCell ref="B81:H81"/>
    <mergeCell ref="B83:H83"/>
    <mergeCell ref="B85:H85"/>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33"/>
  <sheetViews>
    <sheetView workbookViewId="0">
      <pane xSplit="2" ySplit="3" topLeftCell="C4" activePane="bottomRight" state="frozen"/>
      <selection pane="bottomRight"/>
    </sheetView>
  </sheetViews>
  <sheetFormatPr defaultRowHeight="15" outlineLevelRow="0" outlineLevelCol="0" x14ac:dyDescent="55"/>
  <cols>
    <col min="1" max="1" width="4" customWidth="1"/>
    <col min="2" max="2" width="28" customWidth="1"/>
    <col min="3" max="12" width="6" customWidth="1"/>
    <col min="13" max="14" width="12" customWidth="1"/>
  </cols>
  <sheetData>
    <row r="1" spans="1:14" x14ac:dyDescent="0.25">
      <c r="A1" s="68" t="s">
        <v>149</v>
      </c>
      <c r="B1" s="68" t="s">
        <v>150</v>
      </c>
      <c r="C1" s="68" t="s">
        <v>151</v>
      </c>
      <c r="D1" s="68"/>
      <c r="E1" s="68" t="s">
        <v>152</v>
      </c>
      <c r="F1" s="68"/>
      <c r="G1" s="68" t="s">
        <v>153</v>
      </c>
      <c r="H1" s="68"/>
      <c r="I1" s="68" t="s">
        <v>154</v>
      </c>
      <c r="J1" s="68"/>
      <c r="K1" s="68" t="s">
        <v>155</v>
      </c>
      <c r="L1" s="68"/>
      <c r="M1" s="68" t="s">
        <v>156</v>
      </c>
      <c r="N1" s="68" t="s">
        <v>157</v>
      </c>
    </row>
    <row r="2" spans="2:14" x14ac:dyDescent="0.25">
      <c r="B2" s="43" t="s">
        <v>158</v>
      </c>
      <c r="C2" s="69">
        <v>1.5</v>
      </c>
      <c r="D2" s="69"/>
      <c r="E2" s="69">
        <v>1.2</v>
      </c>
      <c r="F2" s="69"/>
      <c r="G2" s="69">
        <v>1</v>
      </c>
      <c r="H2" s="69"/>
      <c r="I2" s="69">
        <v>0.8</v>
      </c>
      <c r="J2" s="69"/>
      <c r="K2" s="69">
        <v>0.7</v>
      </c>
      <c r="L2" s="69"/>
      <c r="M2" s="43" t="s">
        <v>159</v>
      </c>
      <c r="N2">
        <f>=C2+E2+G2+I2+K2</f>
      </c>
    </row>
    <row r="3" spans="1:12" x14ac:dyDescent="0.25">
      <c r="A3" s="68" t="s">
        <v>149</v>
      </c>
      <c r="B3" s="68" t="s">
        <v>160</v>
      </c>
      <c r="C3" s="68" t="s">
        <v>161</v>
      </c>
      <c r="D3" s="68" t="s">
        <v>162</v>
      </c>
      <c r="E3" s="68" t="s">
        <v>161</v>
      </c>
      <c r="F3" s="68" t="s">
        <v>162</v>
      </c>
      <c r="G3" s="68" t="s">
        <v>161</v>
      </c>
      <c r="H3" s="68" t="s">
        <v>162</v>
      </c>
      <c r="I3" s="68" t="s">
        <v>161</v>
      </c>
      <c r="J3" s="68" t="s">
        <v>162</v>
      </c>
      <c r="K3" s="68" t="s">
        <v>161</v>
      </c>
      <c r="L3" s="68" t="s">
        <v>162</v>
      </c>
    </row>
    <row r="4" spans="1:14" x14ac:dyDescent="0.25">
      <c r="A4">
        <v>1</v>
      </c>
      <c r="B4">
        <f>=IF(Workspace!B2="","",Workspace!B2)</f>
      </c>
      <c r="C4">
        <v>3</v>
      </c>
      <c r="D4">
        <v>8</v>
      </c>
      <c r="E4">
        <v>4</v>
      </c>
      <c r="F4">
        <v>9</v>
      </c>
      <c r="G4">
        <v>2</v>
      </c>
      <c r="H4">
        <v>8</v>
      </c>
      <c r="I4">
        <v>3</v>
      </c>
      <c r="J4">
        <v>8</v>
      </c>
      <c r="K4">
        <v>2</v>
      </c>
      <c r="L4">
        <v>7</v>
      </c>
      <c r="M4">
        <f>=IF(Workspace!B2="","",(C4*C$2+E4*E$2+G4*G$2+I4*I$2+K4*K$2)/(C2+E2+G2+I2+K2))</f>
      </c>
      <c r="N4">
        <f>=IF(Workspace!B2="","",(D4*C$2+F4*E$2+H4*G$2+J4*I$2+L4*K$2)/(C2+E2+G2+I2+K2))</f>
      </c>
    </row>
    <row r="5" spans="1:14" x14ac:dyDescent="0.25">
      <c r="A5">
        <v>2</v>
      </c>
      <c r="B5">
        <f>=IF(Workspace!B3="","",Workspace!B3)</f>
      </c>
      <c r="C5">
        <v>7</v>
      </c>
      <c r="D5">
        <v>4</v>
      </c>
      <c r="E5">
        <v>8</v>
      </c>
      <c r="F5">
        <v>5</v>
      </c>
      <c r="G5">
        <v>7</v>
      </c>
      <c r="H5">
        <v>4</v>
      </c>
      <c r="I5">
        <v>6</v>
      </c>
      <c r="J5">
        <v>4</v>
      </c>
      <c r="K5">
        <v>6</v>
      </c>
      <c r="L5">
        <v>3</v>
      </c>
      <c r="M5">
        <f>=IF(Workspace!B3="","",(C5*C$2+E5*E$2+G5*G$2+I5*I$2+K5*K$2)/(C2+E2+G2+I2+K2))</f>
      </c>
      <c r="N5">
        <f>=IF(Workspace!B3="","",(D5*C$2+F5*E$2+H5*G$2+J5*I$2+L5*K$2)/(C2+E2+G2+I2+K2))</f>
      </c>
    </row>
    <row r="6" spans="1:14" x14ac:dyDescent="0.25">
      <c r="A6">
        <v>3</v>
      </c>
      <c r="B6">
        <f>=IF(Workspace!B4="","",Workspace!B4)</f>
      </c>
      <c r="C6">
        <v>-2</v>
      </c>
      <c r="D6">
        <v>7</v>
      </c>
      <c r="E6">
        <v>-1</v>
      </c>
      <c r="F6">
        <v>8</v>
      </c>
      <c r="G6">
        <v>-3</v>
      </c>
      <c r="H6">
        <v>7</v>
      </c>
      <c r="I6">
        <v>-2</v>
      </c>
      <c r="J6">
        <v>8</v>
      </c>
      <c r="K6">
        <v>-2</v>
      </c>
      <c r="L6">
        <v>7</v>
      </c>
      <c r="M6">
        <f>=IF(Workspace!B4="","",(C6*C$2+E6*E$2+G6*G$2+I6*I$2+K6*K$2)/(C2+E2+G2+I2+K2))</f>
      </c>
      <c r="N6">
        <f>=IF(Workspace!B4="","",(D6*C$2+F6*E$2+H6*G$2+J6*I$2+L6*K$2)/(C2+E2+G2+I2+K2))</f>
      </c>
    </row>
    <row r="7" spans="1:14" x14ac:dyDescent="0.25">
      <c r="A7">
        <v>4</v>
      </c>
      <c r="B7">
        <f>=IF(Workspace!B5="","",Workspace!B5)</f>
      </c>
      <c r="C7">
        <v>1</v>
      </c>
      <c r="D7">
        <v>6</v>
      </c>
      <c r="E7">
        <v>2</v>
      </c>
      <c r="F7">
        <v>7</v>
      </c>
      <c r="G7">
        <v>1</v>
      </c>
      <c r="H7">
        <v>6</v>
      </c>
      <c r="I7">
        <v>0</v>
      </c>
      <c r="J7">
        <v>6</v>
      </c>
      <c r="K7">
        <v>-1</v>
      </c>
      <c r="L7">
        <v>6</v>
      </c>
      <c r="M7">
        <f>=IF(Workspace!B5="","",(C7*C$2+E7*E$2+G7*G$2+I7*I$2+K7*K$2)/(C2+E2+G2+I2+K2))</f>
      </c>
      <c r="N7">
        <f>=IF(Workspace!B5="","",(D7*C$2+F7*E$2+H7*G$2+J7*I$2+L7*K$2)/(C2+E2+G2+I2+K2))</f>
      </c>
    </row>
    <row r="8" spans="1:14" x14ac:dyDescent="0.25">
      <c r="A8">
        <v>5</v>
      </c>
      <c r="B8">
        <f>=IF(Workspace!B6="","",Workspace!B6)</f>
      </c>
      <c r="C8">
        <v>7</v>
      </c>
      <c r="D8">
        <v>9</v>
      </c>
      <c r="E8">
        <v>8</v>
      </c>
      <c r="F8">
        <v>9</v>
      </c>
      <c r="G8">
        <v>6</v>
      </c>
      <c r="H8">
        <v>8</v>
      </c>
      <c r="I8">
        <v>7</v>
      </c>
      <c r="J8">
        <v>9</v>
      </c>
      <c r="K8">
        <v>7</v>
      </c>
      <c r="L8">
        <v>9</v>
      </c>
      <c r="M8">
        <f>=IF(Workspace!B6="","",(C8*C$2+E8*E$2+G8*G$2+I8*I$2+K8*K$2)/(C2+E2+G2+I2+K2))</f>
      </c>
      <c r="N8">
        <f>=IF(Workspace!B6="","",(D8*C$2+F8*E$2+H8*G$2+J8*I$2+L8*K$2)/(C2+E2+G2+I2+K2))</f>
      </c>
    </row>
    <row r="9" spans="1:14" x14ac:dyDescent="0.25">
      <c r="A9">
        <v>6</v>
      </c>
      <c r="B9">
        <f>=IF(Workspace!B7="","",Workspace!B7)</f>
      </c>
      <c r="C9">
        <v>-8</v>
      </c>
      <c r="D9">
        <v>6</v>
      </c>
      <c r="E9">
        <v>-9</v>
      </c>
      <c r="F9">
        <v>7</v>
      </c>
      <c r="G9">
        <v>-7</v>
      </c>
      <c r="H9">
        <v>6</v>
      </c>
      <c r="I9">
        <v>-8</v>
      </c>
      <c r="J9">
        <v>7</v>
      </c>
      <c r="K9">
        <v>-9</v>
      </c>
      <c r="L9">
        <v>8</v>
      </c>
      <c r="M9">
        <f>=IF(Workspace!B7="","",(C9*C$2+E9*E$2+G9*G$2+I9*I$2+K9*K$2)/(C2+E2+G2+I2+K2))</f>
      </c>
      <c r="N9">
        <f>=IF(Workspace!B7="","",(D9*C$2+F9*E$2+H9*G$2+J9*I$2+L9*K$2)/(C2+E2+G2+I2+K2))</f>
      </c>
    </row>
    <row r="10" spans="1:14" x14ac:dyDescent="0.25">
      <c r="A10">
        <v>7</v>
      </c>
      <c r="B10">
        <f>=IF(Workspace!B8="","",Workspace!B8)</f>
      </c>
      <c r="C10">
        <v>-1</v>
      </c>
      <c r="D10">
        <v>9</v>
      </c>
      <c r="E10">
        <v>1</v>
      </c>
      <c r="F10">
        <v>9</v>
      </c>
      <c r="G10">
        <v>0</v>
      </c>
      <c r="H10">
        <v>9</v>
      </c>
      <c r="I10">
        <v>-1</v>
      </c>
      <c r="J10">
        <v>9</v>
      </c>
      <c r="K10">
        <v>0</v>
      </c>
      <c r="L10">
        <v>10</v>
      </c>
      <c r="M10">
        <f>=IF(Workspace!B8="","",(C10*C$2+E10*E$2+G10*G$2+I10*I$2+K10*K$2)/(C2+E2+G2+I2+K2))</f>
      </c>
      <c r="N10">
        <f>=IF(Workspace!B8="","",(D10*C$2+F10*E$2+H10*G$2+J10*I$2+L10*K$2)/(C2+E2+G2+I2+K2))</f>
      </c>
    </row>
    <row r="11" spans="1:14" x14ac:dyDescent="0.25">
      <c r="A11">
        <v>8</v>
      </c>
      <c r="B11">
        <f>=IF(Workspace!B9="","",Workspace!B9)</f>
      </c>
      <c r="C11">
        <v>6</v>
      </c>
      <c r="D11">
        <v>2</v>
      </c>
      <c r="E11">
        <v>7</v>
      </c>
      <c r="F11">
        <v>3</v>
      </c>
      <c r="G11">
        <v>8</v>
      </c>
      <c r="H11">
        <v>2</v>
      </c>
      <c r="I11">
        <v>6</v>
      </c>
      <c r="J11">
        <v>2</v>
      </c>
      <c r="K11">
        <v>6</v>
      </c>
      <c r="L11">
        <v>1</v>
      </c>
      <c r="M11">
        <f>=IF(Workspace!B9="","",(C11*C$2+E11*E$2+G11*G$2+I11*I$2+K11*K$2)/(C2+E2+G2+I2+K2))</f>
      </c>
      <c r="N11">
        <f>=IF(Workspace!B9="","",(D11*C$2+F11*E$2+H11*G$2+J11*I$2+L11*K$2)/(C2+E2+G2+I2+K2))</f>
      </c>
    </row>
    <row r="12" spans="1:14" x14ac:dyDescent="0.25">
      <c r="A12">
        <v>9</v>
      </c>
      <c r="B12">
        <f>=IF(Workspace!B10="","",Workspace!B10)</f>
      </c>
      <c r="C12">
        <v>3</v>
      </c>
      <c r="D12">
        <v>-3</v>
      </c>
      <c r="E12">
        <v>4</v>
      </c>
      <c r="F12">
        <v>-2</v>
      </c>
      <c r="G12">
        <v>5</v>
      </c>
      <c r="H12">
        <v>-3</v>
      </c>
      <c r="I12">
        <v>3</v>
      </c>
      <c r="J12">
        <v>-3</v>
      </c>
      <c r="K12">
        <v>3</v>
      </c>
      <c r="L12">
        <v>-4</v>
      </c>
      <c r="M12">
        <f>=IF(Workspace!B10="","",(C12*C$2+E12*E$2+G12*G$2+I12*I$2+K12*K$2)/(C2+E2+G2+I2+K2))</f>
      </c>
      <c r="N12">
        <f>=IF(Workspace!B10="","",(D12*C$2+F12*E$2+H12*G$2+J12*I$2+L12*K$2)/(C2+E2+G2+I2+K2))</f>
      </c>
    </row>
    <row r="13" spans="1:14" x14ac:dyDescent="0.25">
      <c r="A13">
        <v>10</v>
      </c>
      <c r="B13">
        <f>=IF(Workspace!B11="","",Workspace!B11)</f>
      </c>
      <c r="C13">
        <v>6</v>
      </c>
      <c r="D13">
        <v>1</v>
      </c>
      <c r="E13">
        <v>7</v>
      </c>
      <c r="F13">
        <v>2</v>
      </c>
      <c r="G13">
        <v>8</v>
      </c>
      <c r="H13">
        <v>1</v>
      </c>
      <c r="I13">
        <v>6</v>
      </c>
      <c r="J13">
        <v>1</v>
      </c>
      <c r="K13">
        <v>6</v>
      </c>
      <c r="L13">
        <v>0</v>
      </c>
      <c r="M13">
        <f>=IF(Workspace!B11="","",(C13*C$2+E13*E$2+G13*G$2+I13*I$2+K13*K$2)/(C2+E2+G2+I2+K2))</f>
      </c>
      <c r="N13">
        <f>=IF(Workspace!B11="","",(D13*C$2+F13*E$2+H13*G$2+J13*I$2+L13*K$2)/(C2+E2+G2+I2+K2))</f>
      </c>
    </row>
    <row r="14" spans="1:14" x14ac:dyDescent="0.25">
      <c r="A14">
        <v>11</v>
      </c>
      <c r="B14">
        <f>=IF(Workspace!B12="","",Workspace!B12)</f>
      </c>
      <c r="C14">
        <v>9</v>
      </c>
      <c r="D14">
        <v>7</v>
      </c>
      <c r="E14">
        <v>8</v>
      </c>
      <c r="F14">
        <v>6</v>
      </c>
      <c r="G14">
        <v>7</v>
      </c>
      <c r="H14">
        <v>5</v>
      </c>
      <c r="I14">
        <v>8</v>
      </c>
      <c r="J14">
        <v>6</v>
      </c>
      <c r="K14">
        <v>9</v>
      </c>
      <c r="L14">
        <v>7</v>
      </c>
      <c r="M14">
        <f>=IF(Workspace!B12="","",(C14*C$2+E14*E$2+G14*G$2+I14*I$2+K14*K$2)/(C2+E2+G2+I2+K2))</f>
      </c>
      <c r="N14">
        <f>=IF(Workspace!B12="","",(D14*C$2+F14*E$2+H14*G$2+J14*I$2+L14*K$2)/(C2+E2+G2+I2+K2))</f>
      </c>
    </row>
    <row r="15" spans="1:14" x14ac:dyDescent="0.25">
      <c r="A15">
        <v>12</v>
      </c>
      <c r="B15">
        <f>=IF(Workspace!B13="","",Workspace!B13)</f>
      </c>
      <c r="C15">
        <v>-7</v>
      </c>
      <c r="D15">
        <v>5</v>
      </c>
      <c r="E15">
        <v>-6</v>
      </c>
      <c r="F15">
        <v>6</v>
      </c>
      <c r="G15">
        <v>-5</v>
      </c>
      <c r="H15">
        <v>4</v>
      </c>
      <c r="I15">
        <v>-7</v>
      </c>
      <c r="J15">
        <v>5</v>
      </c>
      <c r="K15">
        <v>-8</v>
      </c>
      <c r="L15">
        <v>6</v>
      </c>
      <c r="M15">
        <f>=IF(Workspace!B13="","",(C15*C$2+E15*E$2+G15*G$2+I15*I$2+K15*K$2)/(C2+E2+G2+I2+K2))</f>
      </c>
      <c r="N15">
        <f>=IF(Workspace!B13="","",(D15*C$2+F15*E$2+H15*G$2+J15*I$2+L15*K$2)/(C2+E2+G2+I2+K2))</f>
      </c>
    </row>
    <row r="16" spans="1:14" x14ac:dyDescent="0.25">
      <c r="A16">
        <v>13</v>
      </c>
      <c r="B16">
        <f>=IF(Workspace!B14="","",Workspace!B14)</f>
      </c>
      <c r="C16">
        <v>8</v>
      </c>
      <c r="D16">
        <v>0</v>
      </c>
      <c r="E16">
        <v>7</v>
      </c>
      <c r="F16">
        <v>1</v>
      </c>
      <c r="G16">
        <v>8</v>
      </c>
      <c r="H16">
        <v>-1</v>
      </c>
      <c r="I16">
        <v>8</v>
      </c>
      <c r="J16">
        <v>0</v>
      </c>
      <c r="K16">
        <v>7</v>
      </c>
      <c r="L16">
        <v>0</v>
      </c>
      <c r="M16">
        <f>=IF(Workspace!B14="","",(C16*C$2+E16*E$2+G16*G$2+I16*I$2+K16*K$2)/(C2+E2+G2+I2+K2))</f>
      </c>
      <c r="N16">
        <f>=IF(Workspace!B14="","",(D16*C$2+F16*E$2+H16*G$2+J16*I$2+L16*K$2)/(C2+E2+G2+I2+K2))</f>
      </c>
    </row>
    <row r="17" spans="1:14" x14ac:dyDescent="0.25">
      <c r="A17">
        <v>14</v>
      </c>
      <c r="B17">
        <f>=IF(Workspace!B15="","",Workspace!B15)</f>
      </c>
      <c r="C17">
        <v>10</v>
      </c>
      <c r="D17">
        <v>8</v>
      </c>
      <c r="E17">
        <v>9</v>
      </c>
      <c r="F17">
        <v>7</v>
      </c>
      <c r="G17">
        <v>9</v>
      </c>
      <c r="H17">
        <v>7</v>
      </c>
      <c r="I17">
        <v>10</v>
      </c>
      <c r="J17">
        <v>8</v>
      </c>
      <c r="K17">
        <v>10</v>
      </c>
      <c r="L17">
        <v>9</v>
      </c>
      <c r="M17">
        <f>=IF(Workspace!B15="","",(C17*C$2+E17*E$2+G17*G$2+I17*I$2+K17*K$2)/(C2+E2+G2+I2+K2))</f>
      </c>
      <c r="N17">
        <f>=IF(Workspace!B15="","",(D17*C$2+F17*E$2+H17*G$2+J17*I$2+L17*K$2)/(C2+E2+G2+I2+K2))</f>
      </c>
    </row>
    <row r="18" spans="1:14" x14ac:dyDescent="0.25">
      <c r="A18">
        <v>15</v>
      </c>
      <c r="B18">
        <f>=IF(Workspace!B16="","",Workspace!B16)</f>
      </c>
      <c r="C18">
        <v>2</v>
      </c>
      <c r="D18">
        <v>9</v>
      </c>
      <c r="E18">
        <v>3</v>
      </c>
      <c r="F18">
        <v>10</v>
      </c>
      <c r="G18">
        <v>4</v>
      </c>
      <c r="H18">
        <v>9</v>
      </c>
      <c r="I18">
        <v>2</v>
      </c>
      <c r="J18">
        <v>9</v>
      </c>
      <c r="K18">
        <v>1</v>
      </c>
      <c r="L18">
        <v>9</v>
      </c>
      <c r="M18">
        <f>=IF(Workspace!B16="","",(C18*C$2+E18*E$2+G18*G$2+I18*I$2+K18*K$2)/(C2+E2+G2+I2+K2))</f>
      </c>
      <c r="N18">
        <f>=IF(Workspace!B16="","",(D18*C$2+F18*E$2+H18*G$2+J18*I$2+L18*K$2)/(C2+E2+G2+I2+K2))</f>
      </c>
    </row>
    <row r="19" spans="1:14" x14ac:dyDescent="0.25">
      <c r="A19">
        <v>16</v>
      </c>
      <c r="B19">
        <f>=IF(Workspace!B17="","",Workspace!B17)</f>
      </c>
      <c r="C19">
        <v>4</v>
      </c>
      <c r="D19">
        <v>5</v>
      </c>
      <c r="E19">
        <v>5</v>
      </c>
      <c r="F19">
        <v>6</v>
      </c>
      <c r="G19">
        <v>3</v>
      </c>
      <c r="H19">
        <v>5</v>
      </c>
      <c r="I19">
        <v>4</v>
      </c>
      <c r="J19">
        <v>5</v>
      </c>
      <c r="K19">
        <v>4</v>
      </c>
      <c r="L19">
        <v>4</v>
      </c>
      <c r="M19">
        <f>=IF(Workspace!B17="","",(C19*C$2+E19*E$2+G19*G$2+I19*I$2+K19*K$2)/(C2+E2+G2+I2+K2))</f>
      </c>
      <c r="N19">
        <f>=IF(Workspace!B17="","",(D19*C$2+F19*E$2+H19*G$2+J19*I$2+L19*K$2)/(C2+E2+G2+I2+K2))</f>
      </c>
    </row>
    <row r="20" spans="1:14" x14ac:dyDescent="0.25">
      <c r="A20">
        <v>17</v>
      </c>
      <c r="B20">
        <f>=IF(Workspace!B18="","",Workspace!B18)</f>
      </c>
      <c r="C20">
        <v>-2</v>
      </c>
      <c r="D20">
        <v>9</v>
      </c>
      <c r="E20">
        <v>-1</v>
      </c>
      <c r="F20">
        <v>10</v>
      </c>
      <c r="G20">
        <v>-3</v>
      </c>
      <c r="H20">
        <v>9</v>
      </c>
      <c r="I20">
        <v>-2</v>
      </c>
      <c r="J20">
        <v>10</v>
      </c>
      <c r="K20">
        <v>-3</v>
      </c>
      <c r="L20">
        <v>9</v>
      </c>
      <c r="M20">
        <f>=IF(Workspace!B18="","",(C20*C$2+E20*E$2+G20*G$2+I20*I$2+K20*K$2)/(C2+E2+G2+I2+K2))</f>
      </c>
      <c r="N20">
        <f>=IF(Workspace!B18="","",(D20*C$2+F20*E$2+H20*G$2+J20*I$2+L20*K$2)/(C2+E2+G2+I2+K2))</f>
      </c>
    </row>
    <row r="21" spans="1:14" x14ac:dyDescent="0.25">
      <c r="A21">
        <v>18</v>
      </c>
      <c r="B21">
        <f>=IF(Workspace!B19="","",Workspace!B19)</f>
      </c>
      <c r="C21">
        <v>-5</v>
      </c>
      <c r="D21">
        <v>4</v>
      </c>
      <c r="E21">
        <v>-4</v>
      </c>
      <c r="F21">
        <v>5</v>
      </c>
      <c r="G21">
        <v>-4</v>
      </c>
      <c r="H21">
        <v>4</v>
      </c>
      <c r="I21">
        <v>-5</v>
      </c>
      <c r="J21">
        <v>5</v>
      </c>
      <c r="K21">
        <v>-6</v>
      </c>
      <c r="L21">
        <v>4</v>
      </c>
      <c r="M21">
        <f>=IF(Workspace!B19="","",(C21*C$2+E21*E$2+G21*G$2+I21*I$2+K21*K$2)/(C2+E2+G2+I2+K2))</f>
      </c>
      <c r="N21">
        <f>=IF(Workspace!B19="","",(D21*C$2+F21*E$2+H21*G$2+J21*I$2+L21*K$2)/(C2+E2+G2+I2+K2))</f>
      </c>
    </row>
    <row r="22" spans="1:14" x14ac:dyDescent="0.25">
      <c r="A22">
        <v>19</v>
      </c>
      <c r="B22">
        <f>=IF(Workspace!B20="","",Workspace!B20)</f>
      </c>
      <c r="C22">
        <v>7</v>
      </c>
      <c r="D22">
        <v>6</v>
      </c>
      <c r="E22">
        <v>8</v>
      </c>
      <c r="F22">
        <v>7</v>
      </c>
      <c r="G22">
        <v>6</v>
      </c>
      <c r="H22">
        <v>6</v>
      </c>
      <c r="I22">
        <v>8</v>
      </c>
      <c r="J22">
        <v>7</v>
      </c>
      <c r="K22">
        <v>7</v>
      </c>
      <c r="L22">
        <v>6</v>
      </c>
      <c r="M22">
        <f>=IF(Workspace!B20="","",(C22*C$2+E22*E$2+G22*G$2+I22*I$2+K22*K$2)/(C2+E2+G2+I2+K2))</f>
      </c>
      <c r="N22">
        <f>=IF(Workspace!B20="","",(D22*C$2+F22*E$2+H22*G$2+J22*I$2+L22*K$2)/(C2+E2+G2+I2+K2))</f>
      </c>
    </row>
    <row r="23" spans="1:14" x14ac:dyDescent="0.25">
      <c r="A23">
        <v>20</v>
      </c>
      <c r="B23">
        <f>=IF(Workspace!B21="","",Workspace!B21)</f>
      </c>
      <c r="C23">
        <v>3</v>
      </c>
      <c r="D23">
        <v>3</v>
      </c>
      <c r="E23">
        <v>4</v>
      </c>
      <c r="F23">
        <v>4</v>
      </c>
      <c r="G23">
        <v>5</v>
      </c>
      <c r="H23">
        <v>3</v>
      </c>
      <c r="I23">
        <v>3</v>
      </c>
      <c r="J23">
        <v>3</v>
      </c>
      <c r="K23">
        <v>3</v>
      </c>
      <c r="L23">
        <v>2</v>
      </c>
      <c r="M23">
        <f>=IF(Workspace!B21="","",(C23*C$2+E23*E$2+G23*G$2+I23*I$2+K23*K$2)/(C2+E2+G2+I2+K2))</f>
      </c>
      <c r="N23">
        <f>=IF(Workspace!B21="","",(D23*C$2+F23*E$2+H23*G$2+J23*I$2+L23*K$2)/(C2+E2+G2+I2+K2))</f>
      </c>
    </row>
    <row r="24" spans="1:14" x14ac:dyDescent="0.25">
      <c r="A24">
        <v>21</v>
      </c>
      <c r="B24">
        <f>=IF(Workspace!B22="","",Workspace!B22)</f>
      </c>
      <c r="M24">
        <f>=IF(Workspace!B22="","",(C24*C$2+E24*E$2+G24*G$2+I24*I$2+K24*K$2)/(C2+E2+G2+I2+K2))</f>
      </c>
      <c r="N24">
        <f>=IF(Workspace!B22="","",(D24*C$2+F24*E$2+H24*G$2+J24*I$2+L24*K$2)/(C2+E2+G2+I2+K2))</f>
      </c>
    </row>
    <row r="25" spans="1:14" x14ac:dyDescent="0.25">
      <c r="A25">
        <v>22</v>
      </c>
      <c r="B25">
        <f>=IF(Workspace!B23="","",Workspace!B23)</f>
      </c>
      <c r="M25">
        <f>=IF(Workspace!B23="","",(C25*C$2+E25*E$2+G25*G$2+I25*I$2+K25*K$2)/(C2+E2+G2+I2+K2))</f>
      </c>
      <c r="N25">
        <f>=IF(Workspace!B23="","",(D25*C$2+F25*E$2+H25*G$2+J25*I$2+L25*K$2)/(C2+E2+G2+I2+K2))</f>
      </c>
    </row>
    <row r="26" spans="1:14" x14ac:dyDescent="0.25">
      <c r="A26">
        <v>23</v>
      </c>
      <c r="B26">
        <f>=IF(Workspace!B24="","",Workspace!B24)</f>
      </c>
      <c r="M26">
        <f>=IF(Workspace!B24="","",(C26*C$2+E26*E$2+G26*G$2+I26*I$2+K26*K$2)/(C2+E2+G2+I2+K2))</f>
      </c>
      <c r="N26">
        <f>=IF(Workspace!B24="","",(D26*C$2+F26*E$2+H26*G$2+J26*I$2+L26*K$2)/(C2+E2+G2+I2+K2))</f>
      </c>
    </row>
    <row r="27" spans="1:14" x14ac:dyDescent="0.25">
      <c r="A27">
        <v>24</v>
      </c>
      <c r="B27">
        <f>=IF(Workspace!B25="","",Workspace!B25)</f>
      </c>
      <c r="M27">
        <f>=IF(Workspace!B25="","",(C27*C$2+E27*E$2+G27*G$2+I27*I$2+K27*K$2)/(C2+E2+G2+I2+K2))</f>
      </c>
      <c r="N27">
        <f>=IF(Workspace!B25="","",(D27*C$2+F27*E$2+H27*G$2+J27*I$2+L27*K$2)/(C2+E2+G2+I2+K2))</f>
      </c>
    </row>
    <row r="28" spans="1:14" x14ac:dyDescent="0.25">
      <c r="A28">
        <v>25</v>
      </c>
      <c r="B28">
        <f>=IF(Workspace!B26="","",Workspace!B26)</f>
      </c>
      <c r="M28">
        <f>=IF(Workspace!B26="","",(C28*C$2+E28*E$2+G28*G$2+I28*I$2+K28*K$2)/(C2+E2+G2+I2+K2))</f>
      </c>
      <c r="N28">
        <f>=IF(Workspace!B26="","",(D28*C$2+F28*E$2+H28*G$2+J28*I$2+L28*K$2)/(C2+E2+G2+I2+K2))</f>
      </c>
    </row>
    <row r="29" spans="1:14" x14ac:dyDescent="0.25">
      <c r="A29">
        <v>26</v>
      </c>
      <c r="B29">
        <f>=IF(Workspace!B27="","",Workspace!B27)</f>
      </c>
      <c r="M29">
        <f>=IF(Workspace!B27="","",(C29*C$2+E29*E$2+G29*G$2+I29*I$2+K29*K$2)/(C2+E2+G2+I2+K2))</f>
      </c>
      <c r="N29">
        <f>=IF(Workspace!B27="","",(D29*C$2+F29*E$2+H29*G$2+J29*I$2+L29*K$2)/(C2+E2+G2+I2+K2))</f>
      </c>
    </row>
    <row r="30" spans="1:14" x14ac:dyDescent="0.25">
      <c r="A30">
        <v>27</v>
      </c>
      <c r="B30">
        <f>=IF(Workspace!B28="","",Workspace!B28)</f>
      </c>
      <c r="M30">
        <f>=IF(Workspace!B28="","",(C30*C$2+E30*E$2+G30*G$2+I30*I$2+K30*K$2)/(C2+E2+G2+I2+K2))</f>
      </c>
      <c r="N30">
        <f>=IF(Workspace!B28="","",(D30*C$2+F30*E$2+H30*G$2+J30*I$2+L30*K$2)/(C2+E2+G2+I2+K2))</f>
      </c>
    </row>
    <row r="31" spans="1:14" x14ac:dyDescent="0.25">
      <c r="A31">
        <v>28</v>
      </c>
      <c r="B31">
        <f>=IF(Workspace!B29="","",Workspace!B29)</f>
      </c>
      <c r="M31">
        <f>=IF(Workspace!B29="","",(C31*C$2+E31*E$2+G31*G$2+I31*I$2+K31*K$2)/(C2+E2+G2+I2+K2))</f>
      </c>
      <c r="N31">
        <f>=IF(Workspace!B29="","",(D31*C$2+F31*E$2+H31*G$2+J31*I$2+L31*K$2)/(C2+E2+G2+I2+K2))</f>
      </c>
    </row>
    <row r="32" spans="1:14" x14ac:dyDescent="0.25">
      <c r="A32">
        <v>29</v>
      </c>
      <c r="B32">
        <f>=IF(Workspace!B30="","",Workspace!B30)</f>
      </c>
      <c r="M32">
        <f>=IF(Workspace!B30="","",(C32*C$2+E32*E$2+G32*G$2+I32*I$2+K32*K$2)/(C2+E2+G2+I2+K2))</f>
      </c>
      <c r="N32">
        <f>=IF(Workspace!B30="","",(D32*C$2+F32*E$2+H32*G$2+J32*I$2+L32*K$2)/(C2+E2+G2+I2+K2))</f>
      </c>
    </row>
    <row r="33" spans="1:14" x14ac:dyDescent="0.25">
      <c r="A33">
        <v>30</v>
      </c>
      <c r="B33">
        <f>=IF(Workspace!B31="","",Workspace!B31)</f>
      </c>
      <c r="M33">
        <f>=IF(Workspace!B31="","",(C33*C$2+E33*E$2+G33*G$2+I33*I$2+K33*K$2)/(C2+E2+G2+I2+K2))</f>
      </c>
      <c r="N33">
        <f>=IF(Workspace!B31="","",(D33*C$2+F33*E$2+H33*G$2+J33*I$2+L33*K$2)/(C2+E2+G2+I2+K2))</f>
      </c>
    </row>
  </sheetData>
  <mergeCells count="10">
    <mergeCell ref="C1:D1"/>
    <mergeCell ref="E1:F1"/>
    <mergeCell ref="G1:H1"/>
    <mergeCell ref="I1:J1"/>
    <mergeCell ref="K1:L1"/>
    <mergeCell ref="C2:D2"/>
    <mergeCell ref="E2:F2"/>
    <mergeCell ref="G2:H2"/>
    <mergeCell ref="I2:J2"/>
    <mergeCell ref="K2:L2"/>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31"/>
  <sheetViews>
    <sheetView workbookViewId="0">
      <pane xSplit="3" ySplit="1" topLeftCell="D2" activePane="bottomRight" state="frozen"/>
      <selection pane="bottomRight"/>
    </sheetView>
  </sheetViews>
  <sheetFormatPr defaultRowHeight="15" outlineLevelRow="0" outlineLevelCol="0" x14ac:dyDescent="55"/>
  <cols>
    <col min="1" max="1" width="4" customWidth="1"/>
    <col min="2" max="2" width="26" customWidth="1"/>
    <col min="3" max="3" width="24" customWidth="1"/>
    <col min="4" max="4" width="14" customWidth="1"/>
    <col min="5" max="5" width="18" customWidth="1"/>
    <col min="6" max="6" width="12" customWidth="1"/>
    <col min="7" max="7" width="16" customWidth="1"/>
    <col min="8" max="9" width="14" customWidth="1"/>
    <col min="10" max="10" width="16" customWidth="1"/>
    <col min="12" max="13" width="7" style="70" customWidth="1"/>
    <col min="14" max="14" width="20" customWidth="1"/>
    <col min="15" max="15" width="10" customWidth="1"/>
    <col min="16" max="16" width="40" customWidth="1"/>
    <col min="17" max="17" width="9" hidden="1" customWidth="1"/>
    <col min="18" max="18" width="9" hidden="1" customWidth="1"/>
  </cols>
  <sheetData>
    <row r="1" spans="1:18" x14ac:dyDescent="0.25">
      <c r="A1" s="71" t="s">
        <v>149</v>
      </c>
      <c r="B1" s="71" t="s">
        <v>160</v>
      </c>
      <c r="C1" s="71" t="s">
        <v>163</v>
      </c>
      <c r="D1" s="71" t="s">
        <v>164</v>
      </c>
      <c r="E1" s="71" t="s">
        <v>165</v>
      </c>
      <c r="F1" s="71" t="s">
        <v>166</v>
      </c>
      <c r="G1" s="71" t="s">
        <v>167</v>
      </c>
      <c r="H1" s="71" t="s">
        <v>168</v>
      </c>
      <c r="I1" s="71" t="s">
        <v>169</v>
      </c>
      <c r="J1" s="71" t="s">
        <v>170</v>
      </c>
      <c r="K1" s="71" t="s">
        <v>171</v>
      </c>
      <c r="L1" s="72" t="s">
        <v>161</v>
      </c>
      <c r="M1" s="72" t="s">
        <v>162</v>
      </c>
      <c r="N1" s="71" t="s">
        <v>172</v>
      </c>
      <c r="O1" s="71" t="s">
        <v>173</v>
      </c>
      <c r="P1" s="71" t="s">
        <v>174</v>
      </c>
      <c r="Q1" t="s">
        <v>175</v>
      </c>
      <c r="R1" t="s">
        <v>176</v>
      </c>
    </row>
    <row r="2" spans="1:18" x14ac:dyDescent="0.25">
      <c r="A2">
        <v>1</v>
      </c>
      <c r="B2" t="s">
        <v>177</v>
      </c>
      <c r="C2" t="s">
        <v>178</v>
      </c>
      <c r="D2" t="s">
        <v>83</v>
      </c>
      <c r="E2" t="s">
        <v>129</v>
      </c>
      <c r="F2" t="s">
        <v>179</v>
      </c>
      <c r="G2" t="s">
        <v>180</v>
      </c>
      <c r="H2" t="s">
        <v>181</v>
      </c>
      <c r="I2" t="s">
        <v>182</v>
      </c>
      <c r="J2" t="s">
        <v>183</v>
      </c>
      <c r="K2" t="s">
        <v>184</v>
      </c>
      <c r="L2" s="70">
        <f>=IF(B2="","",Scoring!M4)</f>
      </c>
      <c r="M2" s="70">
        <f>=IF(B2="","",Scoring!N4)</f>
      </c>
      <c r="N2" s="73">
        <f>=IF(B2="","",INDEX(ZoneGrid,R2,Q2))</f>
      </c>
      <c r="O2" t="s">
        <v>185</v>
      </c>
      <c r="P2" t="s">
        <v>186</v>
      </c>
      <c r="Q2">
        <f>=IF(B2="","",IF(L2&lt;-5,1,IF(L2&lt;0,2,IF(L2&lt;5,3,4))))</f>
      </c>
      <c r="R2">
        <f>=IF(B2="","",IF(M2&gt;5,1,IF(M2&gt;2.5,2,IF(M2&gt;0,3,IF(M2&gt;-2.5,4,IF(M2&gt;-5,5,6))))))</f>
      </c>
    </row>
    <row r="3" spans="1:18" x14ac:dyDescent="0.25">
      <c r="A3">
        <v>2</v>
      </c>
      <c r="B3" t="s">
        <v>187</v>
      </c>
      <c r="C3" t="s">
        <v>187</v>
      </c>
      <c r="D3" t="s">
        <v>82</v>
      </c>
      <c r="E3" t="s">
        <v>116</v>
      </c>
      <c r="F3" t="s">
        <v>179</v>
      </c>
      <c r="G3" t="s">
        <v>180</v>
      </c>
      <c r="H3" t="s">
        <v>181</v>
      </c>
      <c r="I3" t="s">
        <v>53</v>
      </c>
      <c r="J3" t="s">
        <v>53</v>
      </c>
      <c r="K3" t="s">
        <v>188</v>
      </c>
      <c r="L3" s="70">
        <f>=IF(B3="","",Scoring!M5)</f>
      </c>
      <c r="M3" s="70">
        <f>=IF(B3="","",Scoring!N5)</f>
      </c>
      <c r="N3" s="74">
        <f>=IF(B3="","",INDEX(ZoneGrid,R3,Q3))</f>
      </c>
      <c r="O3" t="s">
        <v>185</v>
      </c>
      <c r="P3" t="s">
        <v>189</v>
      </c>
      <c r="Q3">
        <f>=IF(B3="","",IF(L3&lt;-5,1,IF(L3&lt;0,2,IF(L3&lt;5,3,4))))</f>
      </c>
      <c r="R3">
        <f>=IF(B3="","",IF(M3&gt;5,1,IF(M3&gt;2.5,2,IF(M3&gt;0,3,IF(M3&gt;-2.5,4,IF(M3&gt;-5,5,6))))))</f>
      </c>
    </row>
    <row r="4" spans="1:18" x14ac:dyDescent="0.25">
      <c r="A4">
        <v>3</v>
      </c>
      <c r="B4" t="s">
        <v>190</v>
      </c>
      <c r="C4" t="s">
        <v>190</v>
      </c>
      <c r="D4" t="s">
        <v>82</v>
      </c>
      <c r="E4" t="s">
        <v>120</v>
      </c>
      <c r="F4" t="s">
        <v>179</v>
      </c>
      <c r="G4" t="s">
        <v>180</v>
      </c>
      <c r="H4" t="s">
        <v>181</v>
      </c>
      <c r="I4" t="s">
        <v>53</v>
      </c>
      <c r="J4" t="s">
        <v>53</v>
      </c>
      <c r="K4" t="s">
        <v>184</v>
      </c>
      <c r="L4" s="70">
        <f>=IF(B4="","",Scoring!M6)</f>
      </c>
      <c r="M4" s="70">
        <f>=IF(B4="","",Scoring!N6)</f>
      </c>
      <c r="N4" s="75">
        <f>=IF(B4="","",INDEX(ZoneGrid,R4,Q4))</f>
      </c>
      <c r="O4" t="s">
        <v>185</v>
      </c>
      <c r="P4" t="s">
        <v>191</v>
      </c>
      <c r="Q4">
        <f>=IF(B4="","",IF(L4&lt;-5,1,IF(L4&lt;0,2,IF(L4&lt;5,3,4))))</f>
      </c>
      <c r="R4">
        <f>=IF(B4="","",IF(M4&gt;5,1,IF(M4&gt;2.5,2,IF(M4&gt;0,3,IF(M4&gt;-2.5,4,IF(M4&gt;-5,5,6))))))</f>
      </c>
    </row>
    <row r="5" spans="1:18" x14ac:dyDescent="0.25">
      <c r="A5">
        <v>4</v>
      </c>
      <c r="B5" t="s">
        <v>192</v>
      </c>
      <c r="C5" t="s">
        <v>192</v>
      </c>
      <c r="D5" t="s">
        <v>85</v>
      </c>
      <c r="E5" t="s">
        <v>127</v>
      </c>
      <c r="F5" t="s">
        <v>179</v>
      </c>
      <c r="G5" t="s">
        <v>180</v>
      </c>
      <c r="H5" t="s">
        <v>181</v>
      </c>
      <c r="I5" t="s">
        <v>193</v>
      </c>
      <c r="J5" t="s">
        <v>194</v>
      </c>
      <c r="K5" t="s">
        <v>184</v>
      </c>
      <c r="L5" s="70">
        <f>=IF(B5="","",Scoring!M7)</f>
      </c>
      <c r="M5" s="70">
        <f>=IF(B5="","",Scoring!N7)</f>
      </c>
      <c r="N5" s="73">
        <f>=IF(B5="","",INDEX(ZoneGrid,R5,Q5))</f>
      </c>
      <c r="O5" t="s">
        <v>185</v>
      </c>
      <c r="P5" t="s">
        <v>195</v>
      </c>
      <c r="Q5">
        <f>=IF(B5="","",IF(L5&lt;-5,1,IF(L5&lt;0,2,IF(L5&lt;5,3,4))))</f>
      </c>
      <c r="R5">
        <f>=IF(B5="","",IF(M5&gt;5,1,IF(M5&gt;2.5,2,IF(M5&gt;0,3,IF(M5&gt;-2.5,4,IF(M5&gt;-5,5,6))))))</f>
      </c>
    </row>
    <row r="6" spans="1:18" x14ac:dyDescent="0.25">
      <c r="A6">
        <v>5</v>
      </c>
      <c r="B6" t="s">
        <v>196</v>
      </c>
      <c r="C6" t="s">
        <v>197</v>
      </c>
      <c r="D6" t="s">
        <v>83</v>
      </c>
      <c r="E6" t="s">
        <v>143</v>
      </c>
      <c r="F6" t="s">
        <v>179</v>
      </c>
      <c r="G6" t="s">
        <v>180</v>
      </c>
      <c r="H6" t="s">
        <v>198</v>
      </c>
      <c r="I6" t="s">
        <v>53</v>
      </c>
      <c r="J6" t="s">
        <v>53</v>
      </c>
      <c r="K6" t="s">
        <v>184</v>
      </c>
      <c r="L6" s="70">
        <f>=IF(B6="","",Scoring!M8)</f>
      </c>
      <c r="M6" s="70">
        <f>=IF(B6="","",Scoring!N8)</f>
      </c>
      <c r="N6" s="76">
        <f>=IF(B6="","",INDEX(ZoneGrid,R6,Q6))</f>
      </c>
      <c r="O6" t="s">
        <v>185</v>
      </c>
      <c r="P6" t="s">
        <v>199</v>
      </c>
      <c r="Q6">
        <f>=IF(B6="","",IF(L6&lt;-5,1,IF(L6&lt;0,2,IF(L6&lt;5,3,4))))</f>
      </c>
      <c r="R6">
        <f>=IF(B6="","",IF(M6&gt;5,1,IF(M6&gt;2.5,2,IF(M6&gt;0,3,IF(M6&gt;-2.5,4,IF(M6&gt;-5,5,6))))))</f>
      </c>
    </row>
    <row r="7" spans="1:18" x14ac:dyDescent="0.25">
      <c r="A7">
        <v>6</v>
      </c>
      <c r="B7" t="s">
        <v>200</v>
      </c>
      <c r="C7" t="s">
        <v>200</v>
      </c>
      <c r="D7" t="s">
        <v>82</v>
      </c>
      <c r="E7" t="s">
        <v>140</v>
      </c>
      <c r="F7" t="s">
        <v>179</v>
      </c>
      <c r="G7" t="s">
        <v>180</v>
      </c>
      <c r="H7" t="s">
        <v>181</v>
      </c>
      <c r="I7" t="s">
        <v>53</v>
      </c>
      <c r="J7" t="s">
        <v>53</v>
      </c>
      <c r="K7" t="s">
        <v>184</v>
      </c>
      <c r="L7" s="70">
        <f>=IF(B7="","",Scoring!M9)</f>
      </c>
      <c r="M7" s="70">
        <f>=IF(B7="","",Scoring!N9)</f>
      </c>
      <c r="N7" s="77">
        <f>=IF(B7="","",INDEX(ZoneGrid,R7,Q7))</f>
      </c>
      <c r="O7" t="s">
        <v>201</v>
      </c>
      <c r="P7" t="s">
        <v>202</v>
      </c>
      <c r="Q7">
        <f>=IF(B7="","",IF(L7&lt;-5,1,IF(L7&lt;0,2,IF(L7&lt;5,3,4))))</f>
      </c>
      <c r="R7">
        <f>=IF(B7="","",IF(M7&gt;5,1,IF(M7&gt;2.5,2,IF(M7&gt;0,3,IF(M7&gt;-2.5,4,IF(M7&gt;-5,5,6))))))</f>
      </c>
    </row>
    <row r="8" spans="1:18" x14ac:dyDescent="0.25">
      <c r="A8">
        <v>7</v>
      </c>
      <c r="B8" t="s">
        <v>203</v>
      </c>
      <c r="C8" t="s">
        <v>203</v>
      </c>
      <c r="D8" t="s">
        <v>83</v>
      </c>
      <c r="E8" t="s">
        <v>135</v>
      </c>
      <c r="F8" t="s">
        <v>179</v>
      </c>
      <c r="G8" t="s">
        <v>180</v>
      </c>
      <c r="H8" t="s">
        <v>169</v>
      </c>
      <c r="I8" t="s">
        <v>53</v>
      </c>
      <c r="J8" t="s">
        <v>53</v>
      </c>
      <c r="K8" t="s">
        <v>184</v>
      </c>
      <c r="L8" s="70">
        <f>=IF(B8="","",Scoring!M10)</f>
      </c>
      <c r="M8" s="70">
        <f>=IF(B8="","",Scoring!N10)</f>
      </c>
      <c r="N8" s="75">
        <f>=IF(B8="","",INDEX(ZoneGrid,R8,Q8))</f>
      </c>
      <c r="O8" t="s">
        <v>185</v>
      </c>
      <c r="P8" t="s">
        <v>204</v>
      </c>
      <c r="Q8">
        <f>=IF(B8="","",IF(L8&lt;-5,1,IF(L8&lt;0,2,IF(L8&lt;5,3,4))))</f>
      </c>
      <c r="R8">
        <f>=IF(B8="","",IF(M8&gt;5,1,IF(M8&gt;2.5,2,IF(M8&gt;0,3,IF(M8&gt;-2.5,4,IF(M8&gt;-5,5,6))))))</f>
      </c>
    </row>
    <row r="9" spans="1:18" x14ac:dyDescent="0.25">
      <c r="A9">
        <v>8</v>
      </c>
      <c r="B9" t="s">
        <v>205</v>
      </c>
      <c r="C9" t="s">
        <v>205</v>
      </c>
      <c r="D9" t="s">
        <v>82</v>
      </c>
      <c r="E9" t="s">
        <v>112</v>
      </c>
      <c r="F9" t="s">
        <v>179</v>
      </c>
      <c r="G9" t="s">
        <v>180</v>
      </c>
      <c r="H9" t="s">
        <v>181</v>
      </c>
      <c r="I9" t="s">
        <v>206</v>
      </c>
      <c r="J9" t="s">
        <v>207</v>
      </c>
      <c r="K9" t="s">
        <v>188</v>
      </c>
      <c r="L9" s="70">
        <f>=IF(B9="","",Scoring!M11)</f>
      </c>
      <c r="M9" s="70">
        <f>=IF(B9="","",Scoring!N11)</f>
      </c>
      <c r="N9" s="78">
        <f>=IF(B9="","",INDEX(ZoneGrid,R9,Q9))</f>
      </c>
      <c r="O9" t="s">
        <v>185</v>
      </c>
      <c r="P9" t="s">
        <v>208</v>
      </c>
      <c r="Q9">
        <f>=IF(B9="","",IF(L9&lt;-5,1,IF(L9&lt;0,2,IF(L9&lt;5,3,4))))</f>
      </c>
      <c r="R9">
        <f>=IF(B9="","",IF(M9&gt;5,1,IF(M9&gt;2.5,2,IF(M9&gt;0,3,IF(M9&gt;-2.5,4,IF(M9&gt;-5,5,6))))))</f>
      </c>
    </row>
    <row r="10" spans="1:18" x14ac:dyDescent="0.25">
      <c r="A10">
        <v>9</v>
      </c>
      <c r="B10" t="s">
        <v>209</v>
      </c>
      <c r="C10" t="s">
        <v>209</v>
      </c>
      <c r="D10" t="s">
        <v>82</v>
      </c>
      <c r="E10" t="s">
        <v>94</v>
      </c>
      <c r="F10" t="s">
        <v>179</v>
      </c>
      <c r="G10" t="s">
        <v>180</v>
      </c>
      <c r="H10" t="s">
        <v>181</v>
      </c>
      <c r="I10" t="s">
        <v>53</v>
      </c>
      <c r="J10" t="s">
        <v>53</v>
      </c>
      <c r="K10" t="s">
        <v>210</v>
      </c>
      <c r="L10" s="70">
        <f>=IF(B10="","",Scoring!M12)</f>
      </c>
      <c r="M10" s="70">
        <f>=IF(B10="","",Scoring!N12)</f>
      </c>
      <c r="N10" s="79">
        <f>=IF(B10="","",INDEX(ZoneGrid,R10,Q10))</f>
      </c>
      <c r="O10" t="s">
        <v>211</v>
      </c>
      <c r="P10" t="s">
        <v>212</v>
      </c>
      <c r="Q10">
        <f>=IF(B10="","",IF(L10&lt;-5,1,IF(L10&lt;0,2,IF(L10&lt;5,3,4))))</f>
      </c>
      <c r="R10">
        <f>=IF(B10="","",IF(M10&gt;5,1,IF(M10&gt;2.5,2,IF(M10&gt;0,3,IF(M10&gt;-2.5,4,IF(M10&gt;-5,5,6))))))</f>
      </c>
    </row>
    <row r="11" spans="1:18" x14ac:dyDescent="0.25">
      <c r="A11">
        <v>10</v>
      </c>
      <c r="B11" t="s">
        <v>213</v>
      </c>
      <c r="C11" t="s">
        <v>213</v>
      </c>
      <c r="D11" t="s">
        <v>82</v>
      </c>
      <c r="E11" t="s">
        <v>136</v>
      </c>
      <c r="F11" t="s">
        <v>179</v>
      </c>
      <c r="G11" t="s">
        <v>180</v>
      </c>
      <c r="H11" t="s">
        <v>181</v>
      </c>
      <c r="I11" t="s">
        <v>193</v>
      </c>
      <c r="J11" t="s">
        <v>53</v>
      </c>
      <c r="K11" t="s">
        <v>188</v>
      </c>
      <c r="L11" s="70">
        <f>=IF(B11="","",Scoring!M13)</f>
      </c>
      <c r="M11" s="70">
        <f>=IF(B11="","",Scoring!N13)</f>
      </c>
      <c r="N11" s="78">
        <f>=IF(B11="","",INDEX(ZoneGrid,R11,Q11))</f>
      </c>
      <c r="O11" t="s">
        <v>185</v>
      </c>
      <c r="P11" t="s">
        <v>214</v>
      </c>
      <c r="Q11">
        <f>=IF(B11="","",IF(L11&lt;-5,1,IF(L11&lt;0,2,IF(L11&lt;5,3,4))))</f>
      </c>
      <c r="R11">
        <f>=IF(B11="","",IF(M11&gt;5,1,IF(M11&gt;2.5,2,IF(M11&gt;0,3,IF(M11&gt;-2.5,4,IF(M11&gt;-5,5,6))))))</f>
      </c>
    </row>
    <row r="12" spans="1:18" x14ac:dyDescent="0.25">
      <c r="A12">
        <v>11</v>
      </c>
      <c r="B12" t="s">
        <v>215</v>
      </c>
      <c r="C12" t="s">
        <v>215</v>
      </c>
      <c r="D12" t="s">
        <v>87</v>
      </c>
      <c r="E12" t="s">
        <v>93</v>
      </c>
      <c r="F12" t="s">
        <v>179</v>
      </c>
      <c r="G12" t="s">
        <v>180</v>
      </c>
      <c r="H12" t="s">
        <v>181</v>
      </c>
      <c r="I12" t="s">
        <v>53</v>
      </c>
      <c r="J12" t="s">
        <v>53</v>
      </c>
      <c r="K12" t="s">
        <v>184</v>
      </c>
      <c r="L12" s="70">
        <f>=IF(B12="","",Scoring!M14)</f>
      </c>
      <c r="M12" s="70">
        <f>=IF(B12="","",Scoring!N14)</f>
      </c>
      <c r="N12" s="76">
        <f>=IF(B12="","",INDEX(ZoneGrid,R12,Q12))</f>
      </c>
      <c r="O12" t="s">
        <v>185</v>
      </c>
      <c r="P12" t="s">
        <v>216</v>
      </c>
      <c r="Q12">
        <f>=IF(B12="","",IF(L12&lt;-5,1,IF(L12&lt;0,2,IF(L12&lt;5,3,4))))</f>
      </c>
      <c r="R12">
        <f>=IF(B12="","",IF(M12&gt;5,1,IF(M12&gt;2.5,2,IF(M12&gt;0,3,IF(M12&gt;-2.5,4,IF(M12&gt;-5,5,6))))))</f>
      </c>
    </row>
    <row r="13" spans="1:18" x14ac:dyDescent="0.25">
      <c r="A13">
        <v>12</v>
      </c>
      <c r="B13" t="s">
        <v>217</v>
      </c>
      <c r="C13" t="s">
        <v>217</v>
      </c>
      <c r="D13" t="s">
        <v>87</v>
      </c>
      <c r="E13" t="s">
        <v>105</v>
      </c>
      <c r="F13" t="s">
        <v>179</v>
      </c>
      <c r="G13" t="s">
        <v>180</v>
      </c>
      <c r="H13" t="s">
        <v>218</v>
      </c>
      <c r="I13" t="s">
        <v>53</v>
      </c>
      <c r="J13" t="s">
        <v>53</v>
      </c>
      <c r="K13" t="s">
        <v>184</v>
      </c>
      <c r="L13" s="70">
        <f>=IF(B13="","",Scoring!M15)</f>
      </c>
      <c r="M13" s="70">
        <f>=IF(B13="","",Scoring!N15)</f>
      </c>
      <c r="N13" s="77">
        <f>=IF(B13="","",INDEX(ZoneGrid,R13,Q13))</f>
      </c>
      <c r="O13" t="s">
        <v>201</v>
      </c>
      <c r="P13" t="s">
        <v>219</v>
      </c>
      <c r="Q13">
        <f>=IF(B13="","",IF(L13&lt;-5,1,IF(L13&lt;0,2,IF(L13&lt;5,3,4))))</f>
      </c>
      <c r="R13">
        <f>=IF(B13="","",IF(M13&gt;5,1,IF(M13&gt;2.5,2,IF(M13&gt;0,3,IF(M13&gt;-2.5,4,IF(M13&gt;-5,5,6))))))</f>
      </c>
    </row>
    <row r="14" spans="1:18" x14ac:dyDescent="0.25">
      <c r="A14">
        <v>13</v>
      </c>
      <c r="B14" t="s">
        <v>220</v>
      </c>
      <c r="C14" t="s">
        <v>220</v>
      </c>
      <c r="D14" t="s">
        <v>85</v>
      </c>
      <c r="E14" t="s">
        <v>109</v>
      </c>
      <c r="F14" t="s">
        <v>179</v>
      </c>
      <c r="G14" t="s">
        <v>180</v>
      </c>
      <c r="H14" t="s">
        <v>218</v>
      </c>
      <c r="I14" t="s">
        <v>53</v>
      </c>
      <c r="J14" t="s">
        <v>53</v>
      </c>
      <c r="K14" t="s">
        <v>188</v>
      </c>
      <c r="L14" s="70">
        <f>=IF(B14="","",Scoring!M16)</f>
      </c>
      <c r="M14" s="70">
        <f>=IF(B14="","",Scoring!N16)</f>
      </c>
      <c r="N14" s="78">
        <f>=IF(B14="","",INDEX(ZoneGrid,R14,Q14))</f>
      </c>
      <c r="O14" t="s">
        <v>185</v>
      </c>
      <c r="P14" t="s">
        <v>221</v>
      </c>
      <c r="Q14">
        <f>=IF(B14="","",IF(L14&lt;-5,1,IF(L14&lt;0,2,IF(L14&lt;5,3,4))))</f>
      </c>
      <c r="R14">
        <f>=IF(B14="","",IF(M14&gt;5,1,IF(M14&gt;2.5,2,IF(M14&gt;0,3,IF(M14&gt;-2.5,4,IF(M14&gt;-5,5,6))))))</f>
      </c>
    </row>
    <row r="15" spans="1:18" x14ac:dyDescent="0.25">
      <c r="A15">
        <v>14</v>
      </c>
      <c r="B15" t="s">
        <v>222</v>
      </c>
      <c r="C15" t="s">
        <v>223</v>
      </c>
      <c r="D15" t="s">
        <v>84</v>
      </c>
      <c r="E15" t="s">
        <v>102</v>
      </c>
      <c r="F15" t="s">
        <v>179</v>
      </c>
      <c r="G15" t="s">
        <v>180</v>
      </c>
      <c r="H15" t="s">
        <v>218</v>
      </c>
      <c r="I15" t="s">
        <v>53</v>
      </c>
      <c r="J15" t="s">
        <v>53</v>
      </c>
      <c r="K15" t="s">
        <v>184</v>
      </c>
      <c r="L15" s="70">
        <f>=IF(B15="","",Scoring!M17)</f>
      </c>
      <c r="M15" s="70">
        <f>=IF(B15="","",Scoring!N17)</f>
      </c>
      <c r="N15" s="76">
        <f>=IF(B15="","",INDEX(ZoneGrid,R15,Q15))</f>
      </c>
      <c r="O15" t="s">
        <v>185</v>
      </c>
      <c r="P15" t="s">
        <v>224</v>
      </c>
      <c r="Q15">
        <f>=IF(B15="","",IF(L15&lt;-5,1,IF(L15&lt;0,2,IF(L15&lt;5,3,4))))</f>
      </c>
      <c r="R15">
        <f>=IF(B15="","",IF(M15&gt;5,1,IF(M15&gt;2.5,2,IF(M15&gt;0,3,IF(M15&gt;-2.5,4,IF(M15&gt;-5,5,6))))))</f>
      </c>
    </row>
    <row r="16" spans="1:18" x14ac:dyDescent="0.25">
      <c r="A16">
        <v>15</v>
      </c>
      <c r="B16" t="s">
        <v>225</v>
      </c>
      <c r="C16" t="s">
        <v>225</v>
      </c>
      <c r="D16" t="s">
        <v>82</v>
      </c>
      <c r="E16" t="s">
        <v>134</v>
      </c>
      <c r="F16" t="s">
        <v>179</v>
      </c>
      <c r="G16" t="s">
        <v>180</v>
      </c>
      <c r="H16" t="s">
        <v>198</v>
      </c>
      <c r="I16" t="s">
        <v>53</v>
      </c>
      <c r="J16" t="s">
        <v>53</v>
      </c>
      <c r="K16" t="s">
        <v>184</v>
      </c>
      <c r="L16" s="70">
        <f>=IF(B16="","",Scoring!M18)</f>
      </c>
      <c r="M16" s="70">
        <f>=IF(B16="","",Scoring!N18)</f>
      </c>
      <c r="N16" s="73">
        <f>=IF(B16="","",INDEX(ZoneGrid,R16,Q16))</f>
      </c>
      <c r="O16" t="s">
        <v>185</v>
      </c>
      <c r="P16" t="s">
        <v>226</v>
      </c>
      <c r="Q16">
        <f>=IF(B16="","",IF(L16&lt;-5,1,IF(L16&lt;0,2,IF(L16&lt;5,3,4))))</f>
      </c>
      <c r="R16">
        <f>=IF(B16="","",IF(M16&gt;5,1,IF(M16&gt;2.5,2,IF(M16&gt;0,3,IF(M16&gt;-2.5,4,IF(M16&gt;-5,5,6))))))</f>
      </c>
    </row>
    <row r="17" spans="1:18" x14ac:dyDescent="0.25">
      <c r="A17">
        <v>16</v>
      </c>
      <c r="B17" t="s">
        <v>227</v>
      </c>
      <c r="C17" t="s">
        <v>228</v>
      </c>
      <c r="D17" t="s">
        <v>83</v>
      </c>
      <c r="E17" t="s">
        <v>117</v>
      </c>
      <c r="F17" t="s">
        <v>179</v>
      </c>
      <c r="G17" t="s">
        <v>180</v>
      </c>
      <c r="H17" t="s">
        <v>181</v>
      </c>
      <c r="I17" t="s">
        <v>229</v>
      </c>
      <c r="J17" t="s">
        <v>230</v>
      </c>
      <c r="K17" t="s">
        <v>188</v>
      </c>
      <c r="L17" s="70">
        <f>=IF(B17="","",Scoring!M19)</f>
      </c>
      <c r="M17" s="70">
        <f>=IF(B17="","",Scoring!N19)</f>
      </c>
      <c r="N17" s="73">
        <f>=IF(B17="","",INDEX(ZoneGrid,R17,Q17))</f>
      </c>
      <c r="O17" t="s">
        <v>185</v>
      </c>
      <c r="P17" t="s">
        <v>231</v>
      </c>
      <c r="Q17">
        <f>=IF(B17="","",IF(L17&lt;-5,1,IF(L17&lt;0,2,IF(L17&lt;5,3,4))))</f>
      </c>
      <c r="R17">
        <f>=IF(B17="","",IF(M17&gt;5,1,IF(M17&gt;2.5,2,IF(M17&gt;0,3,IF(M17&gt;-2.5,4,IF(M17&gt;-5,5,6))))))</f>
      </c>
    </row>
    <row r="18" spans="1:18" x14ac:dyDescent="0.25">
      <c r="A18">
        <v>17</v>
      </c>
      <c r="B18" t="s">
        <v>232</v>
      </c>
      <c r="C18" t="s">
        <v>232</v>
      </c>
      <c r="D18" t="s">
        <v>83</v>
      </c>
      <c r="E18" t="s">
        <v>132</v>
      </c>
      <c r="F18" t="s">
        <v>233</v>
      </c>
      <c r="G18" t="s">
        <v>234</v>
      </c>
      <c r="H18" t="s">
        <v>218</v>
      </c>
      <c r="I18" t="s">
        <v>53</v>
      </c>
      <c r="J18" t="s">
        <v>53</v>
      </c>
      <c r="K18" t="s">
        <v>184</v>
      </c>
      <c r="L18" s="70">
        <f>=IF(B18="","",Scoring!M20)</f>
      </c>
      <c r="M18" s="70">
        <f>=IF(B18="","",Scoring!N20)</f>
      </c>
      <c r="N18" s="75">
        <f>=IF(B18="","",INDEX(ZoneGrid,R18,Q18))</f>
      </c>
      <c r="O18" t="s">
        <v>185</v>
      </c>
      <c r="P18" t="s">
        <v>235</v>
      </c>
      <c r="Q18">
        <f>=IF(B18="","",IF(L18&lt;-5,1,IF(L18&lt;0,2,IF(L18&lt;5,3,4))))</f>
      </c>
      <c r="R18">
        <f>=IF(B18="","",IF(M18&gt;5,1,IF(M18&gt;2.5,2,IF(M18&gt;0,3,IF(M18&gt;-2.5,4,IF(M18&gt;-5,5,6))))))</f>
      </c>
    </row>
    <row r="19" spans="1:18" x14ac:dyDescent="0.25">
      <c r="A19">
        <v>18</v>
      </c>
      <c r="B19" t="s">
        <v>236</v>
      </c>
      <c r="C19" t="s">
        <v>236</v>
      </c>
      <c r="D19" t="s">
        <v>82</v>
      </c>
      <c r="E19" t="s">
        <v>131</v>
      </c>
      <c r="F19" t="s">
        <v>233</v>
      </c>
      <c r="G19" t="s">
        <v>234</v>
      </c>
      <c r="H19" t="s">
        <v>218</v>
      </c>
      <c r="I19" t="s">
        <v>53</v>
      </c>
      <c r="J19" t="s">
        <v>53</v>
      </c>
      <c r="K19" t="s">
        <v>188</v>
      </c>
      <c r="L19" s="70">
        <f>=IF(B19="","",Scoring!M21)</f>
      </c>
      <c r="M19" s="70">
        <f>=IF(B19="","",Scoring!N21)</f>
      </c>
      <c r="N19" s="80">
        <f>=IF(B19="","",INDEX(ZoneGrid,R19,Q19))</f>
      </c>
      <c r="O19" t="s">
        <v>185</v>
      </c>
      <c r="P19" t="s">
        <v>237</v>
      </c>
      <c r="Q19">
        <f>=IF(B19="","",IF(L19&lt;-5,1,IF(L19&lt;0,2,IF(L19&lt;5,3,4))))</f>
      </c>
      <c r="R19">
        <f>=IF(B19="","",IF(M19&gt;5,1,IF(M19&gt;2.5,2,IF(M19&gt;0,3,IF(M19&gt;-2.5,4,IF(M19&gt;-5,5,6))))))</f>
      </c>
    </row>
    <row r="20" spans="1:18" x14ac:dyDescent="0.25">
      <c r="A20">
        <v>19</v>
      </c>
      <c r="B20" t="s">
        <v>238</v>
      </c>
      <c r="C20" t="s">
        <v>238</v>
      </c>
      <c r="D20" t="s">
        <v>85</v>
      </c>
      <c r="E20" t="s">
        <v>103</v>
      </c>
      <c r="F20" t="s">
        <v>233</v>
      </c>
      <c r="G20" t="s">
        <v>234</v>
      </c>
      <c r="H20" t="s">
        <v>218</v>
      </c>
      <c r="I20" t="s">
        <v>53</v>
      </c>
      <c r="J20" t="s">
        <v>53</v>
      </c>
      <c r="K20" t="s">
        <v>184</v>
      </c>
      <c r="L20" s="70">
        <f>=IF(B20="","",Scoring!M22)</f>
      </c>
      <c r="M20" s="70">
        <f>=IF(B20="","",Scoring!N22)</f>
      </c>
      <c r="N20" s="76">
        <f>=IF(B20="","",INDEX(ZoneGrid,R20,Q20))</f>
      </c>
      <c r="O20" t="s">
        <v>185</v>
      </c>
      <c r="P20" t="s">
        <v>239</v>
      </c>
      <c r="Q20">
        <f>=IF(B20="","",IF(L20&lt;-5,1,IF(L20&lt;0,2,IF(L20&lt;5,3,4))))</f>
      </c>
      <c r="R20">
        <f>=IF(B20="","",IF(M20&gt;5,1,IF(M20&gt;2.5,2,IF(M20&gt;0,3,IF(M20&gt;-2.5,4,IF(M20&gt;-5,5,6))))))</f>
      </c>
    </row>
    <row r="21" spans="1:18" x14ac:dyDescent="0.25">
      <c r="A21">
        <v>20</v>
      </c>
      <c r="B21" t="s">
        <v>240</v>
      </c>
      <c r="C21" t="s">
        <v>240</v>
      </c>
      <c r="D21" t="s">
        <v>82</v>
      </c>
      <c r="E21" t="s">
        <v>131</v>
      </c>
      <c r="F21" t="s">
        <v>241</v>
      </c>
      <c r="G21" t="s">
        <v>242</v>
      </c>
      <c r="H21" t="s">
        <v>218</v>
      </c>
      <c r="I21" t="s">
        <v>53</v>
      </c>
      <c r="J21" t="s">
        <v>53</v>
      </c>
      <c r="K21" t="s">
        <v>188</v>
      </c>
      <c r="L21" s="70">
        <f>=IF(B21="","",Scoring!M23)</f>
      </c>
      <c r="M21" s="70">
        <f>=IF(B21="","",Scoring!N23)</f>
      </c>
      <c r="N21" s="78">
        <f>=IF(B21="","",INDEX(ZoneGrid,R21,Q21))</f>
      </c>
      <c r="O21" t="s">
        <v>185</v>
      </c>
      <c r="P21" t="s">
        <v>243</v>
      </c>
      <c r="Q21">
        <f>=IF(B21="","",IF(L21&lt;-5,1,IF(L21&lt;0,2,IF(L21&lt;5,3,4))))</f>
      </c>
      <c r="R21">
        <f>=IF(B21="","",IF(M21&gt;5,1,IF(M21&gt;2.5,2,IF(M21&gt;0,3,IF(M21&gt;-2.5,4,IF(M21&gt;-5,5,6))))))</f>
      </c>
    </row>
    <row r="22" spans="1:18" x14ac:dyDescent="0.25">
      <c r="A22">
        <v>21</v>
      </c>
      <c r="L22" s="70">
        <f>=IF(B22="","",Scoring!M24)</f>
      </c>
      <c r="M22" s="70">
        <f>=IF(B22="","",Scoring!N24)</f>
      </c>
      <c r="N22">
        <f>=IF(B22="","",INDEX(ZoneGrid,R22,Q22))</f>
      </c>
      <c r="Q22">
        <f>=IF(B22="","",IF(L22&lt;-5,1,IF(L22&lt;0,2,IF(L22&lt;5,3,4))))</f>
      </c>
      <c r="R22">
        <f>=IF(B22="","",IF(M22&gt;5,1,IF(M22&gt;2.5,2,IF(M22&gt;0,3,IF(M22&gt;-2.5,4,IF(M22&gt;-5,5,6))))))</f>
      </c>
    </row>
    <row r="23" spans="1:18" x14ac:dyDescent="0.25">
      <c r="A23">
        <v>22</v>
      </c>
      <c r="L23" s="70">
        <f>=IF(B23="","",Scoring!M25)</f>
      </c>
      <c r="M23" s="70">
        <f>=IF(B23="","",Scoring!N25)</f>
      </c>
      <c r="N23">
        <f>=IF(B23="","",INDEX(ZoneGrid,R23,Q23))</f>
      </c>
      <c r="Q23">
        <f>=IF(B23="","",IF(L23&lt;-5,1,IF(L23&lt;0,2,IF(L23&lt;5,3,4))))</f>
      </c>
      <c r="R23">
        <f>=IF(B23="","",IF(M23&gt;5,1,IF(M23&gt;2.5,2,IF(M23&gt;0,3,IF(M23&gt;-2.5,4,IF(M23&gt;-5,5,6))))))</f>
      </c>
    </row>
    <row r="24" spans="1:18" x14ac:dyDescent="0.25">
      <c r="A24">
        <v>23</v>
      </c>
      <c r="L24" s="70">
        <f>=IF(B24="","",Scoring!M26)</f>
      </c>
      <c r="M24" s="70">
        <f>=IF(B24="","",Scoring!N26)</f>
      </c>
      <c r="N24">
        <f>=IF(B24="","",INDEX(ZoneGrid,R24,Q24))</f>
      </c>
      <c r="Q24">
        <f>=IF(B24="","",IF(L24&lt;-5,1,IF(L24&lt;0,2,IF(L24&lt;5,3,4))))</f>
      </c>
      <c r="R24">
        <f>=IF(B24="","",IF(M24&gt;5,1,IF(M24&gt;2.5,2,IF(M24&gt;0,3,IF(M24&gt;-2.5,4,IF(M24&gt;-5,5,6))))))</f>
      </c>
    </row>
    <row r="25" spans="1:18" x14ac:dyDescent="0.25">
      <c r="A25">
        <v>24</v>
      </c>
      <c r="L25" s="70">
        <f>=IF(B25="","",Scoring!M27)</f>
      </c>
      <c r="M25" s="70">
        <f>=IF(B25="","",Scoring!N27)</f>
      </c>
      <c r="N25">
        <f>=IF(B25="","",INDEX(ZoneGrid,R25,Q25))</f>
      </c>
      <c r="Q25">
        <f>=IF(B25="","",IF(L25&lt;-5,1,IF(L25&lt;0,2,IF(L25&lt;5,3,4))))</f>
      </c>
      <c r="R25">
        <f>=IF(B25="","",IF(M25&gt;5,1,IF(M25&gt;2.5,2,IF(M25&gt;0,3,IF(M25&gt;-2.5,4,IF(M25&gt;-5,5,6))))))</f>
      </c>
    </row>
    <row r="26" spans="1:18" x14ac:dyDescent="0.25">
      <c r="A26">
        <v>25</v>
      </c>
      <c r="L26" s="70">
        <f>=IF(B26="","",Scoring!M28)</f>
      </c>
      <c r="M26" s="70">
        <f>=IF(B26="","",Scoring!N28)</f>
      </c>
      <c r="N26">
        <f>=IF(B26="","",INDEX(ZoneGrid,R26,Q26))</f>
      </c>
      <c r="Q26">
        <f>=IF(B26="","",IF(L26&lt;-5,1,IF(L26&lt;0,2,IF(L26&lt;5,3,4))))</f>
      </c>
      <c r="R26">
        <f>=IF(B26="","",IF(M26&gt;5,1,IF(M26&gt;2.5,2,IF(M26&gt;0,3,IF(M26&gt;-2.5,4,IF(M26&gt;-5,5,6))))))</f>
      </c>
    </row>
    <row r="27" spans="1:18" x14ac:dyDescent="0.25">
      <c r="A27">
        <v>26</v>
      </c>
      <c r="L27" s="70">
        <f>=IF(B27="","",Scoring!M29)</f>
      </c>
      <c r="M27" s="70">
        <f>=IF(B27="","",Scoring!N29)</f>
      </c>
      <c r="N27">
        <f>=IF(B27="","",INDEX(ZoneGrid,R27,Q27))</f>
      </c>
      <c r="Q27">
        <f>=IF(B27="","",IF(L27&lt;-5,1,IF(L27&lt;0,2,IF(L27&lt;5,3,4))))</f>
      </c>
      <c r="R27">
        <f>=IF(B27="","",IF(M27&gt;5,1,IF(M27&gt;2.5,2,IF(M27&gt;0,3,IF(M27&gt;-2.5,4,IF(M27&gt;-5,5,6))))))</f>
      </c>
    </row>
    <row r="28" spans="1:18" x14ac:dyDescent="0.25">
      <c r="A28">
        <v>27</v>
      </c>
      <c r="L28" s="70">
        <f>=IF(B28="","",Scoring!M30)</f>
      </c>
      <c r="M28" s="70">
        <f>=IF(B28="","",Scoring!N30)</f>
      </c>
      <c r="N28">
        <f>=IF(B28="","",INDEX(ZoneGrid,R28,Q28))</f>
      </c>
      <c r="Q28">
        <f>=IF(B28="","",IF(L28&lt;-5,1,IF(L28&lt;0,2,IF(L28&lt;5,3,4))))</f>
      </c>
      <c r="R28">
        <f>=IF(B28="","",IF(M28&gt;5,1,IF(M28&gt;2.5,2,IF(M28&gt;0,3,IF(M28&gt;-2.5,4,IF(M28&gt;-5,5,6))))))</f>
      </c>
    </row>
    <row r="29" spans="1:18" x14ac:dyDescent="0.25">
      <c r="A29">
        <v>28</v>
      </c>
      <c r="L29" s="70">
        <f>=IF(B29="","",Scoring!M31)</f>
      </c>
      <c r="M29" s="70">
        <f>=IF(B29="","",Scoring!N31)</f>
      </c>
      <c r="N29">
        <f>=IF(B29="","",INDEX(ZoneGrid,R29,Q29))</f>
      </c>
      <c r="Q29">
        <f>=IF(B29="","",IF(L29&lt;-5,1,IF(L29&lt;0,2,IF(L29&lt;5,3,4))))</f>
      </c>
      <c r="R29">
        <f>=IF(B29="","",IF(M29&gt;5,1,IF(M29&gt;2.5,2,IF(M29&gt;0,3,IF(M29&gt;-2.5,4,IF(M29&gt;-5,5,6))))))</f>
      </c>
    </row>
    <row r="30" spans="1:18" x14ac:dyDescent="0.25">
      <c r="A30">
        <v>29</v>
      </c>
      <c r="L30" s="70">
        <f>=IF(B30="","",Scoring!M32)</f>
      </c>
      <c r="M30" s="70">
        <f>=IF(B30="","",Scoring!N32)</f>
      </c>
      <c r="N30">
        <f>=IF(B30="","",INDEX(ZoneGrid,R30,Q30))</f>
      </c>
      <c r="Q30">
        <f>=IF(B30="","",IF(L30&lt;-5,1,IF(L30&lt;0,2,IF(L30&lt;5,3,4))))</f>
      </c>
      <c r="R30">
        <f>=IF(B30="","",IF(M30&gt;5,1,IF(M30&gt;2.5,2,IF(M30&gt;0,3,IF(M30&gt;-2.5,4,IF(M30&gt;-5,5,6))))))</f>
      </c>
    </row>
    <row r="31" spans="1:18" x14ac:dyDescent="0.25">
      <c r="A31">
        <v>30</v>
      </c>
      <c r="L31" s="70">
        <f>=IF(B31="","",Scoring!M33)</f>
      </c>
      <c r="M31" s="70">
        <f>=IF(B31="","",Scoring!N33)</f>
      </c>
      <c r="N31">
        <f>=IF(B31="","",INDEX(ZoneGrid,R31,Q31))</f>
      </c>
      <c r="Q31">
        <f>=IF(B31="","",IF(L31&lt;-5,1,IF(L31&lt;0,2,IF(L31&lt;5,3,4))))</f>
      </c>
      <c r="R31">
        <f>=IF(B31="","",IF(M31&gt;5,1,IF(M31&gt;2.5,2,IF(M31&gt;0,3,IF(M31&gt;-2.5,4,IF(M31&gt;-5,5,6))))))</f>
      </c>
    </row>
  </sheetData>
  <conditionalFormatting sqref="N2:N31">
    <cfRule type="expression" dxfId="0" priority="1">
      <formula>$N2="Proactively Defend"</formula>
    </cfRule>
    <cfRule type="expression" dxfId="1" priority="2">
      <formula>$N2="Defend"</formula>
    </cfRule>
    <cfRule type="expression" dxfId="2" priority="3">
      <formula>$N2="Protect"</formula>
    </cfRule>
    <cfRule type="expression" dxfId="3" priority="4">
      <formula>$N2="Respond"</formula>
    </cfRule>
    <cfRule type="expression" dxfId="4" priority="5">
      <formula>$N2="Identify"</formula>
    </cfRule>
    <cfRule type="expression" dxfId="5" priority="6">
      <formula>$N2="Monitor"</formula>
    </cfRule>
    <cfRule type="expression" dxfId="6" priority="7">
      <formula>$N2="Maintain"</formula>
    </cfRule>
    <cfRule type="expression" dxfId="7" priority="8">
      <formula>$N2="Connect"</formula>
    </cfRule>
    <cfRule type="expression" dxfId="8" priority="9">
      <formula>$N2="Commit"</formula>
    </cfRule>
    <cfRule type="expression" dxfId="9" priority="10">
      <formula>$N2="Cooperate"</formula>
    </cfRule>
    <cfRule type="expression" dxfId="10" priority="11">
      <formula>$N2="Collaborate"</formula>
    </cfRule>
    <cfRule type="expression" dxfId="11" priority="12">
      <formula>$N2="Valuable Relationship"</formula>
    </cfRule>
    <cfRule type="expression" dxfId="12" priority="13">
      <formula>$N2="High Value Relationship"</formula>
    </cfRule>
    <cfRule type="expression" dxfId="13" priority="14">
      <formula>$N2="Strategic Partner"</formula>
    </cfRule>
  </conditionalFormatting>
  <dataValidations count="42">
    <dataValidation type="list" allowBlank="1" sqref="D10:D31">
      <formula1>CategoryList</formula1>
    </dataValidation>
    <dataValidation type="list" allowBlank="1" sqref="D2:D31">
      <formula1>CategoryList</formula1>
    </dataValidation>
    <dataValidation type="list" allowBlank="1" sqref="E10">
      <formula1>INDIRECT(SUBSTITUTE($D10," ","_"))</formula1>
    </dataValidation>
    <dataValidation type="list" allowBlank="1" sqref="E11">
      <formula1>INDIRECT(SUBSTITUTE($D11," ","_"))</formula1>
    </dataValidation>
    <dataValidation type="list" allowBlank="1" sqref="E12">
      <formula1>INDIRECT(SUBSTITUTE($D12," ","_"))</formula1>
    </dataValidation>
    <dataValidation type="list" allowBlank="1" sqref="E13">
      <formula1>INDIRECT(SUBSTITUTE($D13," ","_"))</formula1>
    </dataValidation>
    <dataValidation type="list" allowBlank="1" sqref="E14">
      <formula1>INDIRECT(SUBSTITUTE($D14," ","_"))</formula1>
    </dataValidation>
    <dataValidation type="list" allowBlank="1" sqref="E15">
      <formula1>INDIRECT(SUBSTITUTE($D15," ","_"))</formula1>
    </dataValidation>
    <dataValidation type="list" allowBlank="1" sqref="E16">
      <formula1>INDIRECT(SUBSTITUTE($D16," ","_"))</formula1>
    </dataValidation>
    <dataValidation type="list" allowBlank="1" sqref="E17">
      <formula1>INDIRECT(SUBSTITUTE($D17," ","_"))</formula1>
    </dataValidation>
    <dataValidation type="list" allowBlank="1" sqref="E18">
      <formula1>INDIRECT(SUBSTITUTE($D18," ","_"))</formula1>
    </dataValidation>
    <dataValidation type="list" allowBlank="1" sqref="E19">
      <formula1>INDIRECT(SUBSTITUTE($D19," ","_"))</formula1>
    </dataValidation>
    <dataValidation type="list" allowBlank="1" sqref="E2">
      <formula1>INDIRECT(SUBSTITUTE($D2," ","_"))</formula1>
    </dataValidation>
    <dataValidation type="list" allowBlank="1" sqref="E20">
      <formula1>INDIRECT(SUBSTITUTE($D20," ","_"))</formula1>
    </dataValidation>
    <dataValidation type="list" allowBlank="1" sqref="E21">
      <formula1>INDIRECT(SUBSTITUTE($D21," ","_"))</formula1>
    </dataValidation>
    <dataValidation type="list" allowBlank="1" sqref="E22">
      <formula1>INDIRECT(SUBSTITUTE($D22," ","_"))</formula1>
    </dataValidation>
    <dataValidation type="list" allowBlank="1" sqref="E23">
      <formula1>INDIRECT(SUBSTITUTE($D23," ","_"))</formula1>
    </dataValidation>
    <dataValidation type="list" allowBlank="1" sqref="E24">
      <formula1>INDIRECT(SUBSTITUTE($D24," ","_"))</formula1>
    </dataValidation>
    <dataValidation type="list" allowBlank="1" sqref="E25">
      <formula1>INDIRECT(SUBSTITUTE($D25," ","_"))</formula1>
    </dataValidation>
    <dataValidation type="list" allowBlank="1" sqref="E26">
      <formula1>INDIRECT(SUBSTITUTE($D26," ","_"))</formula1>
    </dataValidation>
    <dataValidation type="list" allowBlank="1" sqref="E27">
      <formula1>INDIRECT(SUBSTITUTE($D27," ","_"))</formula1>
    </dataValidation>
    <dataValidation type="list" allowBlank="1" sqref="E28">
      <formula1>INDIRECT(SUBSTITUTE($D28," ","_"))</formula1>
    </dataValidation>
    <dataValidation type="list" allowBlank="1" sqref="E29">
      <formula1>INDIRECT(SUBSTITUTE($D29," ","_"))</formula1>
    </dataValidation>
    <dataValidation type="list" allowBlank="1" sqref="E3">
      <formula1>INDIRECT(SUBSTITUTE($D3," ","_"))</formula1>
    </dataValidation>
    <dataValidation type="list" allowBlank="1" sqref="E30">
      <formula1>INDIRECT(SUBSTITUTE($D30," ","_"))</formula1>
    </dataValidation>
    <dataValidation type="list" allowBlank="1" sqref="E31">
      <formula1>INDIRECT(SUBSTITUTE($D31," ","_"))</formula1>
    </dataValidation>
    <dataValidation type="list" allowBlank="1" sqref="E4">
      <formula1>INDIRECT(SUBSTITUTE($D4," ","_"))</formula1>
    </dataValidation>
    <dataValidation type="list" allowBlank="1" sqref="E5">
      <formula1>INDIRECT(SUBSTITUTE($D5," ","_"))</formula1>
    </dataValidation>
    <dataValidation type="list" allowBlank="1" sqref="E6">
      <formula1>INDIRECT(SUBSTITUTE($D6," ","_"))</formula1>
    </dataValidation>
    <dataValidation type="list" allowBlank="1" sqref="E7">
      <formula1>INDIRECT(SUBSTITUTE($D7," ","_"))</formula1>
    </dataValidation>
    <dataValidation type="list" allowBlank="1" sqref="E8">
      <formula1>INDIRECT(SUBSTITUTE($D8," ","_"))</formula1>
    </dataValidation>
    <dataValidation type="list" allowBlank="1" sqref="E9">
      <formula1>INDIRECT(SUBSTITUTE($D9," ","_"))</formula1>
    </dataValidation>
    <dataValidation type="list" allowBlank="1" sqref="F10:F31">
      <formula1>Markets</formula1>
    </dataValidation>
    <dataValidation type="list" allowBlank="1" sqref="F2:F31">
      <formula1>Markets</formula1>
    </dataValidation>
    <dataValidation type="list" allowBlank="1" sqref="G10:G31">
      <formula1>Regions</formula1>
    </dataValidation>
    <dataValidation type="list" allowBlank="1" sqref="G2:G31">
      <formula1>Regions</formula1>
    </dataValidation>
    <dataValidation type="list" allowBlank="1" sqref="H10:H31">
      <formula1>Geographies</formula1>
    </dataValidation>
    <dataValidation type="list" allowBlank="1" sqref="H2:H31">
      <formula1>Geographies</formula1>
    </dataValidation>
    <dataValidation type="list" allowBlank="1" sqref="K10:K31">
      <formula1>Priorities</formula1>
    </dataValidation>
    <dataValidation type="list" allowBlank="1" sqref="K2:K31">
      <formula1>Priorities</formula1>
    </dataValidation>
    <dataValidation type="list" allowBlank="1" sqref="O10:O31">
      <formula1>Statuses</formula1>
    </dataValidation>
    <dataValidation type="list" allowBlank="1" sqref="O2:O31">
      <formula1>Statuses</formula1>
    </dataValidation>
  </dataValidation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4"/>
  <sheetFormatPr defaultRowHeight="15" outlineLevelRow="0" outlineLevelCol="0" x14ac:dyDescent="55"/>
  <cols>
    <col min="1" max="1" width="4" customWidth="1"/>
    <col min="2" max="2" width="11" customWidth="1"/>
    <col min="3" max="6" width="22" customWidth="1"/>
    <col min="8" max="8" width="26" customWidth="1"/>
    <col min="9" max="10" width="6" customWidth="1"/>
    <col min="11" max="11" width="20" customWidth="1"/>
    <col min="12" max="12" width="60" customWidth="1"/>
  </cols>
  <sheetData>
    <row r="1" ht="30" customHeight="1" spans="1:12" x14ac:dyDescent="0.25">
      <c r="A1" s="81" t="s">
        <v>244</v>
      </c>
      <c r="H1" s="82" t="s">
        <v>245</v>
      </c>
      <c r="I1" s="82"/>
      <c r="J1" s="82"/>
      <c r="K1" s="82"/>
      <c r="L1" s="82"/>
    </row>
    <row r="2" spans="8:12" x14ac:dyDescent="0.25">
      <c r="H2" s="83" t="s">
        <v>177</v>
      </c>
      <c r="I2" s="83"/>
      <c r="J2" s="84">
        <f>=IFERROR("x "&amp;TEXT(INDEX(Workspace!$L$2:$L$31,MATCH($H$2,Workspace!$B$2:$B$31,0)),"0.0")&amp;"     y "&amp;TEXT(INDEX(Workspace!$M$2:$M$31,MATCH($H$2,Workspace!$B$2:$B$31,0)),"0.0"),"")</f>
      </c>
      <c r="K2" s="84"/>
      <c r="L2" s="85">
        <f>=IFERROR(INDEX(Workspace!$N$2:$N$31,MATCH($H$2,Workspace!$B$2:$B$31,0)),"")</f>
      </c>
    </row>
    <row r="3" ht="44" customHeight="1" spans="3:12" x14ac:dyDescent="0.25">
      <c r="C3" s="86" t="s">
        <v>246</v>
      </c>
      <c r="D3" s="86"/>
      <c r="E3" s="86"/>
      <c r="F3" s="86"/>
      <c r="H3" s="7">
        <f>=IFERROR("Recommendation:  "&amp;VLOOKUP(INDEX(Workspace!$N$2:$N$31,MATCH($H$2,Workspace!$B$2:$B$31,0)),RecTable,2,FALSE),"")</f>
      </c>
      <c r="I3" s="7"/>
      <c r="J3" s="7"/>
      <c r="K3" s="7"/>
      <c r="L3" s="7"/>
    </row>
    <row r="4" spans="3:12" x14ac:dyDescent="0.25">
      <c r="C4" s="87" t="s">
        <v>247</v>
      </c>
      <c r="D4" s="87" t="s">
        <v>248</v>
      </c>
      <c r="E4" s="87" t="s">
        <v>249</v>
      </c>
      <c r="F4" s="87" t="s">
        <v>250</v>
      </c>
      <c r="H4" s="46" t="s">
        <v>160</v>
      </c>
      <c r="I4" s="46" t="s">
        <v>161</v>
      </c>
      <c r="J4" s="46" t="s">
        <v>162</v>
      </c>
      <c r="K4" s="46" t="s">
        <v>172</v>
      </c>
      <c r="L4" s="46" t="s">
        <v>251</v>
      </c>
    </row>
    <row r="5" ht="64" customHeight="1" spans="1:12" x14ac:dyDescent="0.25">
      <c r="A5" s="88" t="s">
        <v>252</v>
      </c>
      <c r="B5" s="89" t="s">
        <v>253</v>
      </c>
      <c r="C5" s="90">
        <f>="Proactively Defend"&amp;IF(TEXTJOIN(CHAR(10),TRUE,IF((Workspace!$Q$2:$Q$31=1)*(Workspace!$R$2:$R$31=1),Workspace!$B$2:$B$31,""))="","",CHAR(10)&amp;TEXTJOIN(CHAR(10),TRUE,IF((Workspace!$Q$2:$Q$31=1)*(Workspace!$R$2:$R$31=1),Workspace!$B$2:$B$31,"")))</f>
      </c>
      <c r="D5" s="91">
        <f>="Defend"&amp;IF(TEXTJOIN(CHAR(10),TRUE,IF((Workspace!$Q$2:$Q$31=2)*(Workspace!$R$2:$R$31=1),Workspace!$B$2:$B$31,""))="","",CHAR(10)&amp;TEXTJOIN(CHAR(10),TRUE,IF((Workspace!$Q$2:$Q$31=2)*(Workspace!$R$2:$R$31=1),Workspace!$B$2:$B$31,"")))</f>
      </c>
      <c r="E5" s="92">
        <f>="Valuable Relationship"&amp;IF(TEXTJOIN(CHAR(10),TRUE,IF((Workspace!$Q$2:$Q$31=3)*(Workspace!$R$2:$R$31=1),Workspace!$B$2:$B$31,""))="","",CHAR(10)&amp;TEXTJOIN(CHAR(10),TRUE,IF((Workspace!$Q$2:$Q$31=3)*(Workspace!$R$2:$R$31=1),Workspace!$B$2:$B$31,"")))</f>
      </c>
      <c r="F5" s="93">
        <f>="Strategic Partner"&amp;IF(TEXTJOIN(CHAR(10),TRUE,IF((Workspace!$Q$2:$Q$31=4)*(Workspace!$R$2:$R$31=1),Workspace!$B$2:$B$31,""))="","",CHAR(10)&amp;TEXTJOIN(CHAR(10),TRUE,IF((Workspace!$Q$2:$Q$31=4)*(Workspace!$R$2:$R$31=1),Workspace!$B$2:$B$31,"")))</f>
      </c>
      <c r="H5">
        <f>=IF(Workspace!B2="","",Workspace!B2)</f>
      </c>
      <c r="I5" s="70">
        <f>=IF(Workspace!B2="","",Workspace!L2)</f>
      </c>
      <c r="J5" s="70">
        <f>=IF(Workspace!B2="","",Workspace!M2)</f>
      </c>
      <c r="K5">
        <f>=IF(Workspace!B2="","",Workspace!N2)</f>
      </c>
      <c r="L5">
        <f>=IF(Workspace!B2="","",VLOOKUP(Workspace!N2,RecTable,2,FALSE))</f>
      </c>
    </row>
    <row r="6" ht="32" customHeight="1" spans="1:12" x14ac:dyDescent="0.25">
      <c r="A6" s="88"/>
      <c r="B6" s="89" t="s">
        <v>254</v>
      </c>
      <c r="C6" s="91">
        <f>="Defend"&amp;IF(TEXTJOIN(CHAR(10),TRUE,IF((Workspace!$Q$2:$Q$31=1)*(Workspace!$R$2:$R$31=2),Workspace!$B$2:$B$31,""))="","",CHAR(10)&amp;TEXTJOIN(CHAR(10),TRUE,IF((Workspace!$Q$2:$Q$31=1)*(Workspace!$R$2:$R$31=2),Workspace!$B$2:$B$31,"")))</f>
      </c>
      <c r="D6" s="94">
        <f>="Protect"&amp;IF(TEXTJOIN(CHAR(10),TRUE,IF((Workspace!$Q$2:$Q$31=2)*(Workspace!$R$2:$R$31=2),Workspace!$B$2:$B$31,""))="","",CHAR(10)&amp;TEXTJOIN(CHAR(10),TRUE,IF((Workspace!$Q$2:$Q$31=2)*(Workspace!$R$2:$R$31=2),Workspace!$B$2:$B$31,"")))</f>
      </c>
      <c r="E6" s="95">
        <f>="Collaborate"&amp;IF(TEXTJOIN(CHAR(10),TRUE,IF((Workspace!$Q$2:$Q$31=3)*(Workspace!$R$2:$R$31=2),Workspace!$B$2:$B$31,""))="","",CHAR(10)&amp;TEXTJOIN(CHAR(10),TRUE,IF((Workspace!$Q$2:$Q$31=3)*(Workspace!$R$2:$R$31=2),Workspace!$B$2:$B$31,"")))</f>
      </c>
      <c r="F6" s="96">
        <f>="High Value Relationship"&amp;IF(TEXTJOIN(CHAR(10),TRUE,IF((Workspace!$Q$2:$Q$31=4)*(Workspace!$R$2:$R$31=2),Workspace!$B$2:$B$31,""))="","",CHAR(10)&amp;TEXTJOIN(CHAR(10),TRUE,IF((Workspace!$Q$2:$Q$31=4)*(Workspace!$R$2:$R$31=2),Workspace!$B$2:$B$31,"")))</f>
      </c>
      <c r="H6">
        <f>=IF(Workspace!B3="","",Workspace!B3)</f>
      </c>
      <c r="I6" s="70">
        <f>=IF(Workspace!B3="","",Workspace!L3)</f>
      </c>
      <c r="J6" s="70">
        <f>=IF(Workspace!B3="","",Workspace!M3)</f>
      </c>
      <c r="K6">
        <f>=IF(Workspace!B3="","",Workspace!N3)</f>
      </c>
      <c r="L6">
        <f>=IF(Workspace!B3="","",VLOOKUP(Workspace!N3,RecTable,2,FALSE))</f>
      </c>
    </row>
    <row r="7" ht="32" customHeight="1" spans="1:12" x14ac:dyDescent="0.25">
      <c r="A7" s="88"/>
      <c r="B7" s="89" t="s">
        <v>255</v>
      </c>
      <c r="C7" s="94">
        <f>="Protect"&amp;IF(TEXTJOIN(CHAR(10),TRUE,IF((Workspace!$Q$2:$Q$31=1)*(Workspace!$R$2:$R$31=3),Workspace!$B$2:$B$31,""))="","",CHAR(10)&amp;TEXTJOIN(CHAR(10),TRUE,IF((Workspace!$Q$2:$Q$31=1)*(Workspace!$R$2:$R$31=3),Workspace!$B$2:$B$31,"")))</f>
      </c>
      <c r="D7" s="97">
        <f>="Respond"&amp;IF(TEXTJOIN(CHAR(10),TRUE,IF((Workspace!$Q$2:$Q$31=2)*(Workspace!$R$2:$R$31=3),Workspace!$B$2:$B$31,""))="","",CHAR(10)&amp;TEXTJOIN(CHAR(10),TRUE,IF((Workspace!$Q$2:$Q$31=2)*(Workspace!$R$2:$R$31=3),Workspace!$B$2:$B$31,"")))</f>
      </c>
      <c r="E7" s="98">
        <f>="Cooperate"&amp;IF(TEXTJOIN(CHAR(10),TRUE,IF((Workspace!$Q$2:$Q$31=3)*(Workspace!$R$2:$R$31=3),Workspace!$B$2:$B$31,""))="","",CHAR(10)&amp;TEXTJOIN(CHAR(10),TRUE,IF((Workspace!$Q$2:$Q$31=3)*(Workspace!$R$2:$R$31=3),Workspace!$B$2:$B$31,"")))</f>
      </c>
      <c r="F7" s="95">
        <f>="Collaborate"&amp;IF(TEXTJOIN(CHAR(10),TRUE,IF((Workspace!$Q$2:$Q$31=4)*(Workspace!$R$2:$R$31=3),Workspace!$B$2:$B$31,""))="","",CHAR(10)&amp;TEXTJOIN(CHAR(10),TRUE,IF((Workspace!$Q$2:$Q$31=4)*(Workspace!$R$2:$R$31=3),Workspace!$B$2:$B$31,"")))</f>
      </c>
      <c r="H7">
        <f>=IF(Workspace!B4="","",Workspace!B4)</f>
      </c>
      <c r="I7" s="70">
        <f>=IF(Workspace!B4="","",Workspace!L4)</f>
      </c>
      <c r="J7" s="70">
        <f>=IF(Workspace!B4="","",Workspace!M4)</f>
      </c>
      <c r="K7">
        <f>=IF(Workspace!B4="","",Workspace!N4)</f>
      </c>
      <c r="L7">
        <f>=IF(Workspace!B4="","",VLOOKUP(Workspace!N4,RecTable,2,FALSE))</f>
      </c>
    </row>
    <row r="8" ht="32" customHeight="1" spans="1:12" x14ac:dyDescent="0.25">
      <c r="A8" s="88"/>
      <c r="B8" s="89" t="s">
        <v>256</v>
      </c>
      <c r="C8" s="94">
        <f>="Protect"&amp;IF(TEXTJOIN(CHAR(10),TRUE,IF((Workspace!$Q$2:$Q$31=1)*(Workspace!$R$2:$R$31=4),Workspace!$B$2:$B$31,""))="","",CHAR(10)&amp;TEXTJOIN(CHAR(10),TRUE,IF((Workspace!$Q$2:$Q$31=1)*(Workspace!$R$2:$R$31=4),Workspace!$B$2:$B$31,"")))</f>
      </c>
      <c r="D8" s="97">
        <f>="Respond"&amp;IF(TEXTJOIN(CHAR(10),TRUE,IF((Workspace!$Q$2:$Q$31=2)*(Workspace!$R$2:$R$31=4),Workspace!$B$2:$B$31,""))="","",CHAR(10)&amp;TEXTJOIN(CHAR(10),TRUE,IF((Workspace!$Q$2:$Q$31=2)*(Workspace!$R$2:$R$31=4),Workspace!$B$2:$B$31,"")))</f>
      </c>
      <c r="E8" s="98">
        <f>="Cooperate"&amp;IF(TEXTJOIN(CHAR(10),TRUE,IF((Workspace!$Q$2:$Q$31=3)*(Workspace!$R$2:$R$31=4),Workspace!$B$2:$B$31,""))="","",CHAR(10)&amp;TEXTJOIN(CHAR(10),TRUE,IF((Workspace!$Q$2:$Q$31=3)*(Workspace!$R$2:$R$31=4),Workspace!$B$2:$B$31,"")))</f>
      </c>
      <c r="F8" s="95">
        <f>="Collaborate"&amp;IF(TEXTJOIN(CHAR(10),TRUE,IF((Workspace!$Q$2:$Q$31=4)*(Workspace!$R$2:$R$31=4),Workspace!$B$2:$B$31,""))="","",CHAR(10)&amp;TEXTJOIN(CHAR(10),TRUE,IF((Workspace!$Q$2:$Q$31=4)*(Workspace!$R$2:$R$31=4),Workspace!$B$2:$B$31,"")))</f>
      </c>
      <c r="H8">
        <f>=IF(Workspace!B5="","",Workspace!B5)</f>
      </c>
      <c r="I8" s="70">
        <f>=IF(Workspace!B5="","",Workspace!L5)</f>
      </c>
      <c r="J8" s="70">
        <f>=IF(Workspace!B5="","",Workspace!M5)</f>
      </c>
      <c r="K8">
        <f>=IF(Workspace!B5="","",Workspace!N5)</f>
      </c>
      <c r="L8">
        <f>=IF(Workspace!B5="","",VLOOKUP(Workspace!N5,RecTable,2,FALSE))</f>
      </c>
    </row>
    <row r="9" ht="32" customHeight="1" spans="1:12" x14ac:dyDescent="0.25">
      <c r="A9" s="88"/>
      <c r="B9" s="89" t="s">
        <v>257</v>
      </c>
      <c r="C9" s="99">
        <f>="Identify"&amp;IF(TEXTJOIN(CHAR(10),TRUE,IF((Workspace!$Q$2:$Q$31=1)*(Workspace!$R$2:$R$31=5),Workspace!$B$2:$B$31,""))="","",CHAR(10)&amp;TEXTJOIN(CHAR(10),TRUE,IF((Workspace!$Q$2:$Q$31=1)*(Workspace!$R$2:$R$31=5),Workspace!$B$2:$B$31,"")))</f>
      </c>
      <c r="D9" s="99">
        <f>="Identify"&amp;IF(TEXTJOIN(CHAR(10),TRUE,IF((Workspace!$Q$2:$Q$31=2)*(Workspace!$R$2:$R$31=5),Workspace!$B$2:$B$31,""))="","",CHAR(10)&amp;TEXTJOIN(CHAR(10),TRUE,IF((Workspace!$Q$2:$Q$31=2)*(Workspace!$R$2:$R$31=5),Workspace!$B$2:$B$31,"")))</f>
      </c>
      <c r="E9" s="100">
        <f>="Commit"&amp;IF(TEXTJOIN(CHAR(10),TRUE,IF((Workspace!$Q$2:$Q$31=3)*(Workspace!$R$2:$R$31=5),Workspace!$B$2:$B$31,""))="","",CHAR(10)&amp;TEXTJOIN(CHAR(10),TRUE,IF((Workspace!$Q$2:$Q$31=3)*(Workspace!$R$2:$R$31=5),Workspace!$B$2:$B$31,"")))</f>
      </c>
      <c r="F9" s="100">
        <f>="Commit"&amp;IF(TEXTJOIN(CHAR(10),TRUE,IF((Workspace!$Q$2:$Q$31=4)*(Workspace!$R$2:$R$31=5),Workspace!$B$2:$B$31,""))="","",CHAR(10)&amp;TEXTJOIN(CHAR(10),TRUE,IF((Workspace!$Q$2:$Q$31=4)*(Workspace!$R$2:$R$31=5),Workspace!$B$2:$B$31,"")))</f>
      </c>
      <c r="H9">
        <f>=IF(Workspace!B6="","",Workspace!B6)</f>
      </c>
      <c r="I9" s="70">
        <f>=IF(Workspace!B6="","",Workspace!L6)</f>
      </c>
      <c r="J9" s="70">
        <f>=IF(Workspace!B6="","",Workspace!M6)</f>
      </c>
      <c r="K9">
        <f>=IF(Workspace!B6="","",Workspace!N6)</f>
      </c>
      <c r="L9">
        <f>=IF(Workspace!B6="","",VLOOKUP(Workspace!N6,RecTable,2,FALSE))</f>
      </c>
    </row>
    <row r="10" ht="64" customHeight="1" spans="1:12" x14ac:dyDescent="0.25">
      <c r="A10" s="88"/>
      <c r="B10" s="89" t="s">
        <v>258</v>
      </c>
      <c r="C10" s="101">
        <f>="Monitor"&amp;IF(TEXTJOIN(CHAR(10),TRUE,IF((Workspace!$Q$2:$Q$31=1)*(Workspace!$R$2:$R$31=6),Workspace!$B$2:$B$31,""))="","",CHAR(10)&amp;TEXTJOIN(CHAR(10),TRUE,IF((Workspace!$Q$2:$Q$31=1)*(Workspace!$R$2:$R$31=6),Workspace!$B$2:$B$31,"")))</f>
      </c>
      <c r="D10" s="101">
        <f>="Monitor"&amp;IF(TEXTJOIN(CHAR(10),TRUE,IF((Workspace!$Q$2:$Q$31=2)*(Workspace!$R$2:$R$31=6),Workspace!$B$2:$B$31,""))="","",CHAR(10)&amp;TEXTJOIN(CHAR(10),TRUE,IF((Workspace!$Q$2:$Q$31=2)*(Workspace!$R$2:$R$31=6),Workspace!$B$2:$B$31,"")))</f>
      </c>
      <c r="E10" s="102">
        <f>="Maintain"&amp;IF(TEXTJOIN(CHAR(10),TRUE,IF((Workspace!$Q$2:$Q$31=3)*(Workspace!$R$2:$R$31=6),Workspace!$B$2:$B$31,""))="","",CHAR(10)&amp;TEXTJOIN(CHAR(10),TRUE,IF((Workspace!$Q$2:$Q$31=3)*(Workspace!$R$2:$R$31=6),Workspace!$B$2:$B$31,"")))</f>
      </c>
      <c r="F10" s="103">
        <f>="Connect"&amp;IF(TEXTJOIN(CHAR(10),TRUE,IF((Workspace!$Q$2:$Q$31=4)*(Workspace!$R$2:$R$31=6),Workspace!$B$2:$B$31,""))="","",CHAR(10)&amp;TEXTJOIN(CHAR(10),TRUE,IF((Workspace!$Q$2:$Q$31=4)*(Workspace!$R$2:$R$31=6),Workspace!$B$2:$B$31,"")))</f>
      </c>
      <c r="H10">
        <f>=IF(Workspace!B7="","",Workspace!B7)</f>
      </c>
      <c r="I10" s="70">
        <f>=IF(Workspace!B7="","",Workspace!L7)</f>
      </c>
      <c r="J10" s="70">
        <f>=IF(Workspace!B7="","",Workspace!M7)</f>
      </c>
      <c r="K10">
        <f>=IF(Workspace!B7="","",Workspace!N7)</f>
      </c>
      <c r="L10">
        <f>=IF(Workspace!B7="","",VLOOKUP(Workspace!N7,RecTable,2,FALSE))</f>
      </c>
    </row>
    <row r="11" spans="8:12" x14ac:dyDescent="0.25">
      <c r="H11">
        <f>=IF(Workspace!B8="","",Workspace!B8)</f>
      </c>
      <c r="I11" s="70">
        <f>=IF(Workspace!B8="","",Workspace!L8)</f>
      </c>
      <c r="J11" s="70">
        <f>=IF(Workspace!B8="","",Workspace!M8)</f>
      </c>
      <c r="K11">
        <f>=IF(Workspace!B8="","",Workspace!N8)</f>
      </c>
      <c r="L11">
        <f>=IF(Workspace!B8="","",VLOOKUP(Workspace!N8,RecTable,2,FALSE))</f>
      </c>
    </row>
    <row r="12" spans="3:12" x14ac:dyDescent="0.25">
      <c r="C12" s="43" t="s">
        <v>56</v>
      </c>
      <c r="D12" s="44" t="s">
        <v>259</v>
      </c>
      <c r="E12" s="44"/>
      <c r="F12" s="45" t="s">
        <v>58</v>
      </c>
      <c r="H12">
        <f>=IF(Workspace!B9="","",Workspace!B9)</f>
      </c>
      <c r="I12" s="70">
        <f>=IF(Workspace!B9="","",Workspace!L9)</f>
      </c>
      <c r="J12" s="70">
        <f>=IF(Workspace!B9="","",Workspace!M9)</f>
      </c>
      <c r="K12">
        <f>=IF(Workspace!B9="","",Workspace!N9)</f>
      </c>
      <c r="L12">
        <f>=IF(Workspace!B9="","",VLOOKUP(Workspace!N9,RecTable,2,FALSE))</f>
      </c>
    </row>
    <row r="13" spans="8:12" x14ac:dyDescent="0.25">
      <c r="H13">
        <f>=IF(Workspace!B10="","",Workspace!B10)</f>
      </c>
      <c r="I13" s="70">
        <f>=IF(Workspace!B10="","",Workspace!L10)</f>
      </c>
      <c r="J13" s="70">
        <f>=IF(Workspace!B10="","",Workspace!M10)</f>
      </c>
      <c r="K13">
        <f>=IF(Workspace!B10="","",Workspace!N10)</f>
      </c>
      <c r="L13">
        <f>=IF(Workspace!B10="","",VLOOKUP(Workspace!N10,RecTable,2,FALSE))</f>
      </c>
    </row>
    <row r="14" spans="8:12" x14ac:dyDescent="0.25">
      <c r="H14">
        <f>=IF(Workspace!B11="","",Workspace!B11)</f>
      </c>
      <c r="I14" s="70">
        <f>=IF(Workspace!B11="","",Workspace!L11)</f>
      </c>
      <c r="J14" s="70">
        <f>=IF(Workspace!B11="","",Workspace!M11)</f>
      </c>
      <c r="K14">
        <f>=IF(Workspace!B11="","",Workspace!N11)</f>
      </c>
      <c r="L14">
        <f>=IF(Workspace!B11="","",VLOOKUP(Workspace!N11,RecTable,2,FALSE))</f>
      </c>
    </row>
    <row r="15" spans="8:12" x14ac:dyDescent="0.25">
      <c r="H15">
        <f>=IF(Workspace!B12="","",Workspace!B12)</f>
      </c>
      <c r="I15" s="70">
        <f>=IF(Workspace!B12="","",Workspace!L12)</f>
      </c>
      <c r="J15" s="70">
        <f>=IF(Workspace!B12="","",Workspace!M12)</f>
      </c>
      <c r="K15">
        <f>=IF(Workspace!B12="","",Workspace!N12)</f>
      </c>
      <c r="L15">
        <f>=IF(Workspace!B12="","",VLOOKUP(Workspace!N12,RecTable,2,FALSE))</f>
      </c>
    </row>
    <row r="16" spans="8:12" x14ac:dyDescent="0.25">
      <c r="H16">
        <f>=IF(Workspace!B13="","",Workspace!B13)</f>
      </c>
      <c r="I16" s="70">
        <f>=IF(Workspace!B13="","",Workspace!L13)</f>
      </c>
      <c r="J16" s="70">
        <f>=IF(Workspace!B13="","",Workspace!M13)</f>
      </c>
      <c r="K16">
        <f>=IF(Workspace!B13="","",Workspace!N13)</f>
      </c>
      <c r="L16">
        <f>=IF(Workspace!B13="","",VLOOKUP(Workspace!N13,RecTable,2,FALSE))</f>
      </c>
    </row>
    <row r="17" spans="8:12" x14ac:dyDescent="0.25">
      <c r="H17">
        <f>=IF(Workspace!B14="","",Workspace!B14)</f>
      </c>
      <c r="I17" s="70">
        <f>=IF(Workspace!B14="","",Workspace!L14)</f>
      </c>
      <c r="J17" s="70">
        <f>=IF(Workspace!B14="","",Workspace!M14)</f>
      </c>
      <c r="K17">
        <f>=IF(Workspace!B14="","",Workspace!N14)</f>
      </c>
      <c r="L17">
        <f>=IF(Workspace!B14="","",VLOOKUP(Workspace!N14,RecTable,2,FALSE))</f>
      </c>
    </row>
    <row r="18" spans="8:12" x14ac:dyDescent="0.25">
      <c r="H18">
        <f>=IF(Workspace!B15="","",Workspace!B15)</f>
      </c>
      <c r="I18" s="70">
        <f>=IF(Workspace!B15="","",Workspace!L15)</f>
      </c>
      <c r="J18" s="70">
        <f>=IF(Workspace!B15="","",Workspace!M15)</f>
      </c>
      <c r="K18">
        <f>=IF(Workspace!B15="","",Workspace!N15)</f>
      </c>
      <c r="L18">
        <f>=IF(Workspace!B15="","",VLOOKUP(Workspace!N15,RecTable,2,FALSE))</f>
      </c>
    </row>
    <row r="19" spans="8:12" x14ac:dyDescent="0.25">
      <c r="H19">
        <f>=IF(Workspace!B16="","",Workspace!B16)</f>
      </c>
      <c r="I19" s="70">
        <f>=IF(Workspace!B16="","",Workspace!L16)</f>
      </c>
      <c r="J19" s="70">
        <f>=IF(Workspace!B16="","",Workspace!M16)</f>
      </c>
      <c r="K19">
        <f>=IF(Workspace!B16="","",Workspace!N16)</f>
      </c>
      <c r="L19">
        <f>=IF(Workspace!B16="","",VLOOKUP(Workspace!N16,RecTable,2,FALSE))</f>
      </c>
    </row>
    <row r="20" spans="8:12" x14ac:dyDescent="0.25">
      <c r="H20">
        <f>=IF(Workspace!B17="","",Workspace!B17)</f>
      </c>
      <c r="I20" s="70">
        <f>=IF(Workspace!B17="","",Workspace!L17)</f>
      </c>
      <c r="J20" s="70">
        <f>=IF(Workspace!B17="","",Workspace!M17)</f>
      </c>
      <c r="K20">
        <f>=IF(Workspace!B17="","",Workspace!N17)</f>
      </c>
      <c r="L20">
        <f>=IF(Workspace!B17="","",VLOOKUP(Workspace!N17,RecTable,2,FALSE))</f>
      </c>
    </row>
    <row r="21" spans="8:12" x14ac:dyDescent="0.25">
      <c r="H21">
        <f>=IF(Workspace!B18="","",Workspace!B18)</f>
      </c>
      <c r="I21" s="70">
        <f>=IF(Workspace!B18="","",Workspace!L18)</f>
      </c>
      <c r="J21" s="70">
        <f>=IF(Workspace!B18="","",Workspace!M18)</f>
      </c>
      <c r="K21">
        <f>=IF(Workspace!B18="","",Workspace!N18)</f>
      </c>
      <c r="L21">
        <f>=IF(Workspace!B18="","",VLOOKUP(Workspace!N18,RecTable,2,FALSE))</f>
      </c>
    </row>
    <row r="22" spans="8:12" x14ac:dyDescent="0.25">
      <c r="H22">
        <f>=IF(Workspace!B19="","",Workspace!B19)</f>
      </c>
      <c r="I22" s="70">
        <f>=IF(Workspace!B19="","",Workspace!L19)</f>
      </c>
      <c r="J22" s="70">
        <f>=IF(Workspace!B19="","",Workspace!M19)</f>
      </c>
      <c r="K22">
        <f>=IF(Workspace!B19="","",Workspace!N19)</f>
      </c>
      <c r="L22">
        <f>=IF(Workspace!B19="","",VLOOKUP(Workspace!N19,RecTable,2,FALSE))</f>
      </c>
    </row>
    <row r="23" spans="8:12" x14ac:dyDescent="0.25">
      <c r="H23">
        <f>=IF(Workspace!B20="","",Workspace!B20)</f>
      </c>
      <c r="I23" s="70">
        <f>=IF(Workspace!B20="","",Workspace!L20)</f>
      </c>
      <c r="J23" s="70">
        <f>=IF(Workspace!B20="","",Workspace!M20)</f>
      </c>
      <c r="K23">
        <f>=IF(Workspace!B20="","",Workspace!N20)</f>
      </c>
      <c r="L23">
        <f>=IF(Workspace!B20="","",VLOOKUP(Workspace!N20,RecTable,2,FALSE))</f>
      </c>
    </row>
    <row r="24" spans="8:12" x14ac:dyDescent="0.25">
      <c r="H24">
        <f>=IF(Workspace!B21="","",Workspace!B21)</f>
      </c>
      <c r="I24" s="70">
        <f>=IF(Workspace!B21="","",Workspace!L21)</f>
      </c>
      <c r="J24" s="70">
        <f>=IF(Workspace!B21="","",Workspace!M21)</f>
      </c>
      <c r="K24">
        <f>=IF(Workspace!B21="","",Workspace!N21)</f>
      </c>
      <c r="L24">
        <f>=IF(Workspace!B21="","",VLOOKUP(Workspace!N21,RecTable,2,FALSE))</f>
      </c>
    </row>
    <row r="25" spans="8:12" x14ac:dyDescent="0.25">
      <c r="H25">
        <f>=IF(Workspace!B22="","",Workspace!B22)</f>
      </c>
      <c r="I25" s="70">
        <f>=IF(Workspace!B22="","",Workspace!L22)</f>
      </c>
      <c r="J25" s="70">
        <f>=IF(Workspace!B22="","",Workspace!M22)</f>
      </c>
      <c r="K25">
        <f>=IF(Workspace!B22="","",Workspace!N22)</f>
      </c>
      <c r="L25">
        <f>=IF(Workspace!B22="","",VLOOKUP(Workspace!N22,RecTable,2,FALSE))</f>
      </c>
    </row>
    <row r="26" spans="8:12" x14ac:dyDescent="0.25">
      <c r="H26">
        <f>=IF(Workspace!B23="","",Workspace!B23)</f>
      </c>
      <c r="I26" s="70">
        <f>=IF(Workspace!B23="","",Workspace!L23)</f>
      </c>
      <c r="J26" s="70">
        <f>=IF(Workspace!B23="","",Workspace!M23)</f>
      </c>
      <c r="K26">
        <f>=IF(Workspace!B23="","",Workspace!N23)</f>
      </c>
      <c r="L26">
        <f>=IF(Workspace!B23="","",VLOOKUP(Workspace!N23,RecTable,2,FALSE))</f>
      </c>
    </row>
    <row r="27" spans="8:12" x14ac:dyDescent="0.25">
      <c r="H27">
        <f>=IF(Workspace!B24="","",Workspace!B24)</f>
      </c>
      <c r="I27" s="70">
        <f>=IF(Workspace!B24="","",Workspace!L24)</f>
      </c>
      <c r="J27" s="70">
        <f>=IF(Workspace!B24="","",Workspace!M24)</f>
      </c>
      <c r="K27">
        <f>=IF(Workspace!B24="","",Workspace!N24)</f>
      </c>
      <c r="L27">
        <f>=IF(Workspace!B24="","",VLOOKUP(Workspace!N24,RecTable,2,FALSE))</f>
      </c>
    </row>
    <row r="28" spans="8:12" x14ac:dyDescent="0.25">
      <c r="H28">
        <f>=IF(Workspace!B25="","",Workspace!B25)</f>
      </c>
      <c r="I28" s="70">
        <f>=IF(Workspace!B25="","",Workspace!L25)</f>
      </c>
      <c r="J28" s="70">
        <f>=IF(Workspace!B25="","",Workspace!M25)</f>
      </c>
      <c r="K28">
        <f>=IF(Workspace!B25="","",Workspace!N25)</f>
      </c>
      <c r="L28">
        <f>=IF(Workspace!B25="","",VLOOKUP(Workspace!N25,RecTable,2,FALSE))</f>
      </c>
    </row>
    <row r="29" spans="8:12" x14ac:dyDescent="0.25">
      <c r="H29">
        <f>=IF(Workspace!B26="","",Workspace!B26)</f>
      </c>
      <c r="I29" s="70">
        <f>=IF(Workspace!B26="","",Workspace!L26)</f>
      </c>
      <c r="J29" s="70">
        <f>=IF(Workspace!B26="","",Workspace!M26)</f>
      </c>
      <c r="K29">
        <f>=IF(Workspace!B26="","",Workspace!N26)</f>
      </c>
      <c r="L29">
        <f>=IF(Workspace!B26="","",VLOOKUP(Workspace!N26,RecTable,2,FALSE))</f>
      </c>
    </row>
    <row r="30" spans="8:12" x14ac:dyDescent="0.25">
      <c r="H30">
        <f>=IF(Workspace!B27="","",Workspace!B27)</f>
      </c>
      <c r="I30" s="70">
        <f>=IF(Workspace!B27="","",Workspace!L27)</f>
      </c>
      <c r="J30" s="70">
        <f>=IF(Workspace!B27="","",Workspace!M27)</f>
      </c>
      <c r="K30">
        <f>=IF(Workspace!B27="","",Workspace!N27)</f>
      </c>
      <c r="L30">
        <f>=IF(Workspace!B27="","",VLOOKUP(Workspace!N27,RecTable,2,FALSE))</f>
      </c>
    </row>
    <row r="31" spans="8:12" x14ac:dyDescent="0.25">
      <c r="H31">
        <f>=IF(Workspace!B28="","",Workspace!B28)</f>
      </c>
      <c r="I31" s="70">
        <f>=IF(Workspace!B28="","",Workspace!L28)</f>
      </c>
      <c r="J31" s="70">
        <f>=IF(Workspace!B28="","",Workspace!M28)</f>
      </c>
      <c r="K31">
        <f>=IF(Workspace!B28="","",Workspace!N28)</f>
      </c>
      <c r="L31">
        <f>=IF(Workspace!B28="","",VLOOKUP(Workspace!N28,RecTable,2,FALSE))</f>
      </c>
    </row>
    <row r="32" spans="8:12" x14ac:dyDescent="0.25">
      <c r="H32">
        <f>=IF(Workspace!B29="","",Workspace!B29)</f>
      </c>
      <c r="I32" s="70">
        <f>=IF(Workspace!B29="","",Workspace!L29)</f>
      </c>
      <c r="J32" s="70">
        <f>=IF(Workspace!B29="","",Workspace!M29)</f>
      </c>
      <c r="K32">
        <f>=IF(Workspace!B29="","",Workspace!N29)</f>
      </c>
      <c r="L32">
        <f>=IF(Workspace!B29="","",VLOOKUP(Workspace!N29,RecTable,2,FALSE))</f>
      </c>
    </row>
    <row r="33" spans="8:12" x14ac:dyDescent="0.25">
      <c r="H33">
        <f>=IF(Workspace!B30="","",Workspace!B30)</f>
      </c>
      <c r="I33" s="70">
        <f>=IF(Workspace!B30="","",Workspace!L30)</f>
      </c>
      <c r="J33" s="70">
        <f>=IF(Workspace!B30="","",Workspace!M30)</f>
      </c>
      <c r="K33">
        <f>=IF(Workspace!B30="","",Workspace!N30)</f>
      </c>
      <c r="L33">
        <f>=IF(Workspace!B30="","",VLOOKUP(Workspace!N30,RecTable,2,FALSE))</f>
      </c>
    </row>
    <row r="34" spans="8:12" x14ac:dyDescent="0.25">
      <c r="H34">
        <f>=IF(Workspace!B31="","",Workspace!B31)</f>
      </c>
      <c r="I34" s="70">
        <f>=IF(Workspace!B31="","",Workspace!L31)</f>
      </c>
      <c r="J34" s="70">
        <f>=IF(Workspace!B31="","",Workspace!M31)</f>
      </c>
      <c r="K34">
        <f>=IF(Workspace!B31="","",Workspace!N31)</f>
      </c>
      <c r="L34">
        <f>=IF(Workspace!B31="","",VLOOKUP(Workspace!N31,RecTable,2,FALSE))</f>
      </c>
    </row>
  </sheetData>
  <mergeCells count="7">
    <mergeCell ref="H1:L1"/>
    <mergeCell ref="H2:I2"/>
    <mergeCell ref="J2:K2"/>
    <mergeCell ref="C3:F3"/>
    <mergeCell ref="H3:L3"/>
    <mergeCell ref="A5:A10"/>
    <mergeCell ref="D12:E12"/>
  </mergeCells>
  <conditionalFormatting sqref="K5:K34">
    <cfRule type="expression" dxfId="14" priority="1">
      <formula>$K5="Proactively Defend"</formula>
    </cfRule>
    <cfRule type="expression" dxfId="15" priority="2">
      <formula>$K5="Defend"</formula>
    </cfRule>
    <cfRule type="expression" dxfId="16" priority="3">
      <formula>$K5="Protect"</formula>
    </cfRule>
    <cfRule type="expression" dxfId="17" priority="4">
      <formula>$K5="Respond"</formula>
    </cfRule>
    <cfRule type="expression" dxfId="18" priority="5">
      <formula>$K5="Identify"</formula>
    </cfRule>
    <cfRule type="expression" dxfId="19" priority="6">
      <formula>$K5="Monitor"</formula>
    </cfRule>
    <cfRule type="expression" dxfId="20" priority="7">
      <formula>$K5="Maintain"</formula>
    </cfRule>
    <cfRule type="expression" dxfId="21" priority="8">
      <formula>$K5="Connect"</formula>
    </cfRule>
    <cfRule type="expression" dxfId="22" priority="9">
      <formula>$K5="Commit"</formula>
    </cfRule>
    <cfRule type="expression" dxfId="23" priority="10">
      <formula>$K5="Cooperate"</formula>
    </cfRule>
    <cfRule type="expression" dxfId="24" priority="11">
      <formula>$K5="Collaborate"</formula>
    </cfRule>
    <cfRule type="expression" dxfId="25" priority="12">
      <formula>$K5="Valuable Relationship"</formula>
    </cfRule>
    <cfRule type="expression" dxfId="26" priority="13">
      <formula>$K5="High Value Relationship"</formula>
    </cfRule>
    <cfRule type="expression" dxfId="27" priority="14">
      <formula>$K5="Strategic Partner"</formula>
    </cfRule>
  </conditionalFormatting>
  <conditionalFormatting sqref="L2">
    <cfRule type="expression" dxfId="28" priority="1">
      <formula>$L$2="Proactively Defend"</formula>
    </cfRule>
    <cfRule type="expression" dxfId="29" priority="2">
      <formula>$L$2="Defend"</formula>
    </cfRule>
    <cfRule type="expression" dxfId="30" priority="3">
      <formula>$L$2="Protect"</formula>
    </cfRule>
    <cfRule type="expression" dxfId="31" priority="4">
      <formula>$L$2="Respond"</formula>
    </cfRule>
    <cfRule type="expression" dxfId="32" priority="5">
      <formula>$L$2="Identify"</formula>
    </cfRule>
    <cfRule type="expression" dxfId="33" priority="6">
      <formula>$L$2="Monitor"</formula>
    </cfRule>
    <cfRule type="expression" dxfId="34" priority="7">
      <formula>$L$2="Maintain"</formula>
    </cfRule>
    <cfRule type="expression" dxfId="35" priority="8">
      <formula>$L$2="Connect"</formula>
    </cfRule>
    <cfRule type="expression" dxfId="36" priority="9">
      <formula>$L$2="Commit"</formula>
    </cfRule>
    <cfRule type="expression" dxfId="37" priority="10">
      <formula>$L$2="Cooperate"</formula>
    </cfRule>
    <cfRule type="expression" dxfId="38" priority="11">
      <formula>$L$2="Collaborate"</formula>
    </cfRule>
    <cfRule type="expression" dxfId="39" priority="12">
      <formula>$L$2="Valuable Relationship"</formula>
    </cfRule>
    <cfRule type="expression" dxfId="40" priority="13">
      <formula>$L$2="High Value Relationship"</formula>
    </cfRule>
    <cfRule type="expression" dxfId="41" priority="14">
      <formula>$L$2="Strategic Partner"</formula>
    </cfRule>
  </conditionalFormatting>
  <dataValidations count="1">
    <dataValidation type="list" allowBlank="1" sqref="H2">
      <formula1>Workspace!$B$2:$B$31</formula1>
    </dataValidation>
  </dataValidations>
  <pageMargins left="0.7" right="0.7" top="0.75" bottom="0.75" header="0.3" footer="0.3"/>
  <pageSetup orientation="portrait" horizontalDpi="4294967295" verticalDpi="4294967295" scale="100" fitToWidth="1" fitToHeight="1"/>
  <drawing r:id="rIdDraw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6"/>
  <sheetFormatPr defaultRowHeight="15" outlineLevelRow="0" outlineLevelCol="0" x14ac:dyDescent="55"/>
  <sheetData>
    <row r="1" spans="1:22" x14ac:dyDescent="0.25">
      <c r="A1" t="s">
        <v>82</v>
      </c>
      <c r="C1" t="s">
        <v>88</v>
      </c>
      <c r="D1" t="s">
        <v>89</v>
      </c>
      <c r="E1" t="s">
        <v>90</v>
      </c>
      <c r="F1" t="s">
        <v>91</v>
      </c>
      <c r="G1" t="s">
        <v>92</v>
      </c>
      <c r="H1" t="s">
        <v>93</v>
      </c>
      <c r="J1" t="s">
        <v>179</v>
      </c>
      <c r="K1" t="s">
        <v>180</v>
      </c>
      <c r="L1" t="s">
        <v>218</v>
      </c>
      <c r="M1" t="s">
        <v>184</v>
      </c>
      <c r="N1" t="s">
        <v>185</v>
      </c>
      <c r="P1" t="s">
        <v>21</v>
      </c>
      <c r="Q1" t="s">
        <v>22</v>
      </c>
      <c r="R1" t="s">
        <v>32</v>
      </c>
      <c r="S1" t="s">
        <v>34</v>
      </c>
      <c r="U1" t="s">
        <v>21</v>
      </c>
      <c r="V1" t="s">
        <v>260</v>
      </c>
    </row>
    <row r="2" spans="1:22" x14ac:dyDescent="0.25">
      <c r="A2" t="s">
        <v>83</v>
      </c>
      <c r="C2" t="s">
        <v>94</v>
      </c>
      <c r="D2" t="s">
        <v>95</v>
      </c>
      <c r="E2" t="s">
        <v>96</v>
      </c>
      <c r="F2" t="s">
        <v>97</v>
      </c>
      <c r="G2" t="s">
        <v>98</v>
      </c>
      <c r="H2" t="s">
        <v>99</v>
      </c>
      <c r="J2" t="s">
        <v>241</v>
      </c>
      <c r="K2" t="s">
        <v>261</v>
      </c>
      <c r="L2" t="s">
        <v>198</v>
      </c>
      <c r="M2" t="s">
        <v>188</v>
      </c>
      <c r="N2" t="s">
        <v>201</v>
      </c>
      <c r="P2" t="s">
        <v>22</v>
      </c>
      <c r="Q2" t="s">
        <v>23</v>
      </c>
      <c r="R2" t="s">
        <v>31</v>
      </c>
      <c r="S2" t="s">
        <v>33</v>
      </c>
      <c r="U2" t="s">
        <v>22</v>
      </c>
      <c r="V2" t="s">
        <v>262</v>
      </c>
    </row>
    <row r="3" spans="1:22" x14ac:dyDescent="0.25">
      <c r="A3" t="s">
        <v>84</v>
      </c>
      <c r="C3" t="s">
        <v>100</v>
      </c>
      <c r="D3" t="s">
        <v>101</v>
      </c>
      <c r="E3" t="s">
        <v>102</v>
      </c>
      <c r="F3" t="s">
        <v>103</v>
      </c>
      <c r="G3" t="s">
        <v>104</v>
      </c>
      <c r="H3" t="s">
        <v>105</v>
      </c>
      <c r="J3" t="s">
        <v>233</v>
      </c>
      <c r="K3" t="s">
        <v>263</v>
      </c>
      <c r="L3" t="s">
        <v>169</v>
      </c>
      <c r="M3" t="s">
        <v>210</v>
      </c>
      <c r="N3" t="s">
        <v>211</v>
      </c>
      <c r="P3" t="s">
        <v>23</v>
      </c>
      <c r="Q3" t="s">
        <v>24</v>
      </c>
      <c r="R3" t="s">
        <v>30</v>
      </c>
      <c r="S3" t="s">
        <v>31</v>
      </c>
      <c r="U3" t="s">
        <v>23</v>
      </c>
      <c r="V3" t="s">
        <v>264</v>
      </c>
    </row>
    <row r="4" spans="1:22" x14ac:dyDescent="0.25">
      <c r="A4" t="s">
        <v>85</v>
      </c>
      <c r="C4" t="s">
        <v>106</v>
      </c>
      <c r="D4" t="s">
        <v>107</v>
      </c>
      <c r="E4" t="s">
        <v>108</v>
      </c>
      <c r="F4" t="s">
        <v>109</v>
      </c>
      <c r="G4" t="s">
        <v>110</v>
      </c>
      <c r="H4" t="s">
        <v>111</v>
      </c>
      <c r="J4" t="s">
        <v>265</v>
      </c>
      <c r="K4" t="s">
        <v>242</v>
      </c>
      <c r="L4" t="s">
        <v>181</v>
      </c>
      <c r="N4" t="s">
        <v>266</v>
      </c>
      <c r="P4" t="s">
        <v>23</v>
      </c>
      <c r="Q4" t="s">
        <v>24</v>
      </c>
      <c r="R4" t="s">
        <v>30</v>
      </c>
      <c r="S4" t="s">
        <v>31</v>
      </c>
      <c r="U4" t="s">
        <v>24</v>
      </c>
      <c r="V4" t="s">
        <v>267</v>
      </c>
    </row>
    <row r="5" spans="1:22" x14ac:dyDescent="0.25">
      <c r="A5" t="s">
        <v>86</v>
      </c>
      <c r="C5" t="s">
        <v>112</v>
      </c>
      <c r="D5" t="s">
        <v>113</v>
      </c>
      <c r="E5" t="s">
        <v>114</v>
      </c>
      <c r="F5" t="s">
        <v>115</v>
      </c>
      <c r="K5" t="s">
        <v>268</v>
      </c>
      <c r="P5" t="s">
        <v>25</v>
      </c>
      <c r="Q5" t="s">
        <v>25</v>
      </c>
      <c r="R5" t="s">
        <v>29</v>
      </c>
      <c r="S5" t="s">
        <v>29</v>
      </c>
      <c r="U5" t="s">
        <v>25</v>
      </c>
      <c r="V5" t="s">
        <v>269</v>
      </c>
    </row>
    <row r="6" spans="1:22" x14ac:dyDescent="0.25">
      <c r="A6" t="s">
        <v>87</v>
      </c>
      <c r="C6" t="s">
        <v>116</v>
      </c>
      <c r="D6" t="s">
        <v>117</v>
      </c>
      <c r="E6" t="s">
        <v>118</v>
      </c>
      <c r="F6" t="s">
        <v>119</v>
      </c>
      <c r="K6" t="s">
        <v>234</v>
      </c>
      <c r="P6" t="s">
        <v>26</v>
      </c>
      <c r="Q6" t="s">
        <v>26</v>
      </c>
      <c r="R6" t="s">
        <v>27</v>
      </c>
      <c r="S6" t="s">
        <v>28</v>
      </c>
      <c r="U6" t="s">
        <v>26</v>
      </c>
      <c r="V6" t="s">
        <v>270</v>
      </c>
    </row>
    <row r="7" spans="3:22" x14ac:dyDescent="0.25">
      <c r="C7" t="s">
        <v>120</v>
      </c>
      <c r="D7" t="s">
        <v>121</v>
      </c>
      <c r="E7" t="s">
        <v>122</v>
      </c>
      <c r="F7" t="s">
        <v>123</v>
      </c>
      <c r="K7" t="s">
        <v>271</v>
      </c>
      <c r="U7" t="s">
        <v>27</v>
      </c>
      <c r="V7" t="s">
        <v>272</v>
      </c>
    </row>
    <row r="8" spans="3:22" x14ac:dyDescent="0.25">
      <c r="C8" t="s">
        <v>124</v>
      </c>
      <c r="D8" t="s">
        <v>125</v>
      </c>
      <c r="E8" t="s">
        <v>126</v>
      </c>
      <c r="F8" t="s">
        <v>127</v>
      </c>
      <c r="K8" t="s">
        <v>273</v>
      </c>
      <c r="U8" t="s">
        <v>28</v>
      </c>
      <c r="V8" t="s">
        <v>274</v>
      </c>
    </row>
    <row r="9" spans="3:22" x14ac:dyDescent="0.25">
      <c r="C9" t="s">
        <v>128</v>
      </c>
      <c r="D9" t="s">
        <v>129</v>
      </c>
      <c r="E9" t="s">
        <v>130</v>
      </c>
      <c r="K9" t="s">
        <v>275</v>
      </c>
      <c r="U9" t="s">
        <v>29</v>
      </c>
      <c r="V9" t="s">
        <v>276</v>
      </c>
    </row>
    <row r="10" spans="3:22" x14ac:dyDescent="0.25">
      <c r="C10" t="s">
        <v>131</v>
      </c>
      <c r="D10" t="s">
        <v>132</v>
      </c>
      <c r="E10" t="s">
        <v>133</v>
      </c>
      <c r="K10" t="s">
        <v>277</v>
      </c>
      <c r="U10" t="s">
        <v>30</v>
      </c>
      <c r="V10" t="s">
        <v>278</v>
      </c>
    </row>
    <row r="11" spans="3:22" x14ac:dyDescent="0.25">
      <c r="C11" t="s">
        <v>134</v>
      </c>
      <c r="D11" t="s">
        <v>135</v>
      </c>
      <c r="U11" t="s">
        <v>31</v>
      </c>
      <c r="V11" t="s">
        <v>279</v>
      </c>
    </row>
    <row r="12" spans="3:22" x14ac:dyDescent="0.25">
      <c r="C12" t="s">
        <v>136</v>
      </c>
      <c r="D12" t="s">
        <v>137</v>
      </c>
      <c r="U12" t="s">
        <v>32</v>
      </c>
      <c r="V12" t="s">
        <v>280</v>
      </c>
    </row>
    <row r="13" spans="3:22" x14ac:dyDescent="0.25">
      <c r="C13" t="s">
        <v>138</v>
      </c>
      <c r="D13" t="s">
        <v>139</v>
      </c>
      <c r="U13" t="s">
        <v>33</v>
      </c>
      <c r="V13" t="s">
        <v>281</v>
      </c>
    </row>
    <row r="14" spans="3:22" x14ac:dyDescent="0.25">
      <c r="C14" t="s">
        <v>140</v>
      </c>
      <c r="D14" t="s">
        <v>141</v>
      </c>
      <c r="U14" t="s">
        <v>34</v>
      </c>
      <c r="V14" t="s">
        <v>282</v>
      </c>
    </row>
    <row r="15" spans="3:4" x14ac:dyDescent="0.25">
      <c r="C15" t="s">
        <v>142</v>
      </c>
      <c r="D15" t="s">
        <v>143</v>
      </c>
    </row>
    <row r="16" spans="3:4" x14ac:dyDescent="0.25">
      <c r="C16" t="s">
        <v>144</v>
      </c>
      <c r="D16" t="s">
        <v>145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Intro</vt:lpstr>
      <vt:lpstr>Scoring</vt:lpstr>
      <vt:lpstr>Workspace</vt:lpstr>
      <vt:lpstr>Map</vt:lpstr>
      <vt:lpstr>Reference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Stakeholdr</dc:creator>
  <dc:title/>
  <dc:subject/>
  <dc:description/>
  <cp:keywords/>
  <cp:category/>
  <cp:lastModifiedBy>Unknown</cp:lastModifiedBy>
  <dcterms:created xsi:type="dcterms:W3CDTF">2026-06-03T16:59:12Z</dcterms:created>
  <dcterms:modified xsi:type="dcterms:W3CDTF">2026-06-03T16:59:12Z</dcterms:modified>
</cp:coreProperties>
</file>